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/>
  <xr:revisionPtr revIDLastSave="1183" documentId="8_{94D4B666-BFE1-E047-8172-ECCD661CA6B2}" xr6:coauthVersionLast="47" xr6:coauthVersionMax="47" xr10:uidLastSave="{8256401B-C34F-674C-891B-813223C37516}"/>
  <bookViews>
    <workbookView xWindow="0" yWindow="0" windowWidth="0" windowHeight="0" xr2:uid="{00000000-000D-0000-FFFF-FFFF00000000}"/>
  </bookViews>
  <sheets>
    <sheet name="Buste Pag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2" i="1" l="1"/>
  <c r="AM22" i="1"/>
  <c r="AW45" i="1"/>
  <c r="AW46" i="1"/>
  <c r="AW47" i="1"/>
  <c r="AW48" i="1"/>
  <c r="AW49" i="1"/>
  <c r="AW50" i="1"/>
  <c r="AW51" i="1"/>
  <c r="AW52" i="1"/>
  <c r="AW53" i="1"/>
  <c r="P21" i="1"/>
  <c r="S21" i="1"/>
  <c r="V21" i="1"/>
  <c r="W21" i="1"/>
  <c r="Y21" i="1"/>
  <c r="Z21" i="1"/>
  <c r="AB21" i="1"/>
  <c r="AC21" i="1"/>
  <c r="P22" i="1"/>
  <c r="S22" i="1"/>
  <c r="V22" i="1"/>
  <c r="W22" i="1"/>
  <c r="Y22" i="1"/>
  <c r="Z22" i="1"/>
  <c r="AB22" i="1"/>
  <c r="AC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20" i="1"/>
  <c r="AV19" i="1"/>
  <c r="BP28" i="1"/>
  <c r="BP27" i="1"/>
  <c r="BP26" i="1"/>
  <c r="BP25" i="1"/>
  <c r="BP24" i="1"/>
  <c r="BP23" i="1"/>
  <c r="BP22" i="1"/>
  <c r="BP21" i="1"/>
  <c r="BP20" i="1"/>
  <c r="BP19" i="1"/>
  <c r="BP18" i="1"/>
  <c r="BJ18" i="1"/>
  <c r="AX18" i="1"/>
  <c r="P19" i="1"/>
  <c r="S19" i="1"/>
  <c r="V19" i="1"/>
  <c r="W19" i="1"/>
  <c r="AB19" i="1"/>
  <c r="AC19" i="1"/>
  <c r="AW19" i="1"/>
  <c r="P20" i="1"/>
  <c r="S20" i="1"/>
  <c r="V20" i="1"/>
  <c r="W20" i="1"/>
  <c r="AB20" i="1"/>
  <c r="AC20" i="1"/>
  <c r="AW18" i="1"/>
  <c r="AG19" i="1"/>
  <c r="AH19" i="1"/>
  <c r="AI19" i="1"/>
  <c r="Y19" i="1"/>
  <c r="Z19" i="1"/>
  <c r="AT19" i="1"/>
  <c r="AG20" i="1"/>
  <c r="AH20" i="1"/>
  <c r="AI20" i="1"/>
  <c r="Y20" i="1"/>
  <c r="Z20" i="1"/>
  <c r="AT20" i="1"/>
  <c r="AV20" i="1"/>
  <c r="AH21" i="1"/>
  <c r="AI21" i="1"/>
  <c r="AT21" i="1"/>
  <c r="AV21" i="1"/>
  <c r="AH22" i="1"/>
  <c r="AI22" i="1"/>
  <c r="AT22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18" i="1"/>
  <c r="AB1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2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18" i="1"/>
  <c r="AC17" i="1"/>
  <c r="AC16" i="1"/>
  <c r="AC15" i="1"/>
  <c r="AC14" i="1"/>
  <c r="AC13" i="1"/>
  <c r="M18" i="1"/>
  <c r="N18" i="1"/>
  <c r="M22" i="1"/>
  <c r="N22" i="1"/>
  <c r="AF22" i="1"/>
  <c r="AJ22" i="1"/>
  <c r="AK22" i="1"/>
  <c r="AL22" i="1"/>
  <c r="AX22" i="1"/>
  <c r="AY7" i="1"/>
  <c r="AY8" i="1"/>
  <c r="AY9" i="1"/>
  <c r="AY10" i="1"/>
  <c r="AY11" i="1"/>
  <c r="AY12" i="1"/>
  <c r="AY13" i="1"/>
  <c r="AY14" i="1"/>
  <c r="AY15" i="1"/>
  <c r="AY16" i="1"/>
  <c r="AY17" i="1"/>
  <c r="AY19" i="1"/>
  <c r="AY20" i="1"/>
  <c r="AY21" i="1"/>
  <c r="AY22" i="1"/>
  <c r="BB19" i="1"/>
  <c r="BB20" i="1"/>
  <c r="BG7" i="1"/>
  <c r="BG8" i="1"/>
  <c r="BG9" i="1"/>
  <c r="BG10" i="1"/>
  <c r="BG11" i="1"/>
  <c r="BG12" i="1"/>
  <c r="BG13" i="1"/>
  <c r="BG14" i="1"/>
  <c r="BG15" i="1"/>
  <c r="BG16" i="1"/>
  <c r="BG17" i="1"/>
  <c r="BG19" i="1"/>
  <c r="BG20" i="1"/>
  <c r="BG21" i="1"/>
  <c r="BJ3" i="1"/>
  <c r="BJ4" i="1"/>
  <c r="BJ5" i="1"/>
  <c r="BJ6" i="1"/>
  <c r="BJ8" i="1"/>
  <c r="BJ9" i="1"/>
  <c r="BJ10" i="1"/>
  <c r="BJ11" i="1"/>
  <c r="BJ12" i="1"/>
  <c r="BJ13" i="1"/>
  <c r="BJ14" i="1"/>
  <c r="BJ15" i="1"/>
  <c r="BJ16" i="1"/>
  <c r="BJ17" i="1"/>
  <c r="BJ19" i="1"/>
  <c r="BJ20" i="1"/>
  <c r="BJ21" i="1"/>
  <c r="BJ22" i="1"/>
  <c r="M23" i="1"/>
  <c r="N23" i="1"/>
  <c r="P23" i="1"/>
  <c r="S23" i="1"/>
  <c r="V23" i="1"/>
  <c r="W23" i="1"/>
  <c r="Y23" i="1"/>
  <c r="Z23" i="1"/>
  <c r="AF23" i="1"/>
  <c r="AG23" i="1"/>
  <c r="AH23" i="1"/>
  <c r="AI23" i="1"/>
  <c r="AJ23" i="1"/>
  <c r="AK23" i="1"/>
  <c r="AL23" i="1"/>
  <c r="AM23" i="1"/>
  <c r="AT23" i="1"/>
  <c r="AX23" i="1"/>
  <c r="AY23" i="1"/>
  <c r="BB23" i="1"/>
  <c r="BG23" i="1"/>
  <c r="BJ23" i="1"/>
  <c r="M24" i="1"/>
  <c r="N24" i="1"/>
  <c r="P24" i="1"/>
  <c r="S24" i="1"/>
  <c r="V24" i="1"/>
  <c r="W24" i="1"/>
  <c r="Y24" i="1"/>
  <c r="Z24" i="1"/>
  <c r="AF24" i="1"/>
  <c r="AG24" i="1"/>
  <c r="AH24" i="1"/>
  <c r="AI24" i="1"/>
  <c r="AJ24" i="1"/>
  <c r="AK24" i="1"/>
  <c r="AL24" i="1"/>
  <c r="AM24" i="1"/>
  <c r="AT24" i="1"/>
  <c r="AX24" i="1"/>
  <c r="AY24" i="1"/>
  <c r="BB24" i="1"/>
  <c r="BG24" i="1"/>
  <c r="BJ24" i="1"/>
  <c r="M25" i="1"/>
  <c r="N25" i="1"/>
  <c r="P25" i="1"/>
  <c r="S25" i="1"/>
  <c r="V25" i="1"/>
  <c r="W25" i="1"/>
  <c r="Y25" i="1"/>
  <c r="Z25" i="1"/>
  <c r="AF25" i="1"/>
  <c r="AG25" i="1"/>
  <c r="AH25" i="1"/>
  <c r="AI25" i="1"/>
  <c r="AJ25" i="1"/>
  <c r="AK25" i="1"/>
  <c r="AL25" i="1"/>
  <c r="AM25" i="1"/>
  <c r="AT25" i="1"/>
  <c r="AX25" i="1"/>
  <c r="AY25" i="1"/>
  <c r="BB25" i="1"/>
  <c r="BG25" i="1"/>
  <c r="BJ25" i="1"/>
  <c r="M26" i="1"/>
  <c r="N26" i="1"/>
  <c r="P26" i="1"/>
  <c r="S26" i="1"/>
  <c r="V26" i="1"/>
  <c r="W26" i="1"/>
  <c r="Y26" i="1"/>
  <c r="Z26" i="1"/>
  <c r="AF26" i="1"/>
  <c r="AG26" i="1"/>
  <c r="AH26" i="1"/>
  <c r="AI26" i="1"/>
  <c r="AJ26" i="1"/>
  <c r="AK26" i="1"/>
  <c r="AL26" i="1"/>
  <c r="AM26" i="1"/>
  <c r="AT26" i="1"/>
  <c r="AX26" i="1"/>
  <c r="AY26" i="1"/>
  <c r="BB26" i="1"/>
  <c r="BG26" i="1"/>
  <c r="BJ26" i="1"/>
  <c r="M27" i="1"/>
  <c r="N27" i="1"/>
  <c r="P27" i="1"/>
  <c r="S27" i="1"/>
  <c r="V27" i="1"/>
  <c r="W27" i="1"/>
  <c r="Y27" i="1"/>
  <c r="Z27" i="1"/>
  <c r="AF27" i="1"/>
  <c r="AG27" i="1"/>
  <c r="AH27" i="1"/>
  <c r="AI27" i="1"/>
  <c r="AJ27" i="1"/>
  <c r="AK27" i="1"/>
  <c r="AL27" i="1"/>
  <c r="AM27" i="1"/>
  <c r="AT27" i="1"/>
  <c r="AX27" i="1"/>
  <c r="AY27" i="1"/>
  <c r="BB27" i="1"/>
  <c r="BG27" i="1"/>
  <c r="BJ27" i="1"/>
  <c r="M28" i="1"/>
  <c r="N28" i="1"/>
  <c r="P28" i="1"/>
  <c r="S28" i="1"/>
  <c r="V28" i="1"/>
  <c r="W28" i="1"/>
  <c r="Y28" i="1"/>
  <c r="Z28" i="1"/>
  <c r="AF28" i="1"/>
  <c r="AG28" i="1"/>
  <c r="AH28" i="1"/>
  <c r="AI28" i="1"/>
  <c r="AJ28" i="1"/>
  <c r="AK28" i="1"/>
  <c r="AL28" i="1"/>
  <c r="AM28" i="1"/>
  <c r="AT28" i="1"/>
  <c r="AX28" i="1"/>
  <c r="AY28" i="1"/>
  <c r="BB28" i="1"/>
  <c r="BG28" i="1"/>
  <c r="BJ28" i="1"/>
  <c r="M29" i="1"/>
  <c r="N29" i="1"/>
  <c r="P29" i="1"/>
  <c r="S29" i="1"/>
  <c r="V29" i="1"/>
  <c r="W29" i="1"/>
  <c r="Y29" i="1"/>
  <c r="Z29" i="1"/>
  <c r="AF29" i="1"/>
  <c r="AG29" i="1"/>
  <c r="AH29" i="1"/>
  <c r="AI29" i="1"/>
  <c r="AJ29" i="1"/>
  <c r="AK29" i="1"/>
  <c r="AL29" i="1"/>
  <c r="AM29" i="1"/>
  <c r="AT29" i="1"/>
  <c r="AX29" i="1"/>
  <c r="AY29" i="1"/>
  <c r="BB29" i="1"/>
  <c r="BG29" i="1"/>
  <c r="BJ29" i="1"/>
  <c r="M30" i="1"/>
  <c r="N30" i="1"/>
  <c r="P30" i="1"/>
  <c r="S30" i="1"/>
  <c r="V30" i="1"/>
  <c r="W30" i="1"/>
  <c r="Y30" i="1"/>
  <c r="Z30" i="1"/>
  <c r="AF30" i="1"/>
  <c r="AG30" i="1"/>
  <c r="AH30" i="1"/>
  <c r="AI30" i="1"/>
  <c r="AJ30" i="1"/>
  <c r="AK30" i="1"/>
  <c r="AL30" i="1"/>
  <c r="AM30" i="1"/>
  <c r="AT30" i="1"/>
  <c r="AX30" i="1"/>
  <c r="AY30" i="1"/>
  <c r="BB30" i="1"/>
  <c r="BG30" i="1"/>
  <c r="BJ30" i="1"/>
  <c r="M31" i="1"/>
  <c r="N31" i="1"/>
  <c r="P31" i="1"/>
  <c r="S31" i="1"/>
  <c r="V31" i="1"/>
  <c r="W31" i="1"/>
  <c r="Y31" i="1"/>
  <c r="Z31" i="1"/>
  <c r="AF31" i="1"/>
  <c r="AG31" i="1"/>
  <c r="AH31" i="1"/>
  <c r="AI31" i="1"/>
  <c r="AJ31" i="1"/>
  <c r="AK31" i="1"/>
  <c r="AL31" i="1"/>
  <c r="AM31" i="1"/>
  <c r="AT31" i="1"/>
  <c r="AX31" i="1"/>
  <c r="AY31" i="1"/>
  <c r="BB31" i="1"/>
  <c r="BG31" i="1"/>
  <c r="BJ31" i="1"/>
  <c r="M32" i="1"/>
  <c r="N32" i="1"/>
  <c r="P32" i="1"/>
  <c r="S32" i="1"/>
  <c r="V32" i="1"/>
  <c r="W32" i="1"/>
  <c r="Y32" i="1"/>
  <c r="Z32" i="1"/>
  <c r="AF32" i="1"/>
  <c r="AG32" i="1"/>
  <c r="AH32" i="1"/>
  <c r="AI32" i="1"/>
  <c r="AJ32" i="1"/>
  <c r="AK32" i="1"/>
  <c r="AL32" i="1"/>
  <c r="AM32" i="1"/>
  <c r="AT32" i="1"/>
  <c r="AX32" i="1"/>
  <c r="AY32" i="1"/>
  <c r="BB32" i="1"/>
  <c r="BG32" i="1"/>
  <c r="BJ32" i="1"/>
  <c r="M33" i="1"/>
  <c r="N33" i="1"/>
  <c r="P33" i="1"/>
  <c r="S33" i="1"/>
  <c r="V33" i="1"/>
  <c r="W33" i="1"/>
  <c r="Y33" i="1"/>
  <c r="Z33" i="1"/>
  <c r="AF33" i="1"/>
  <c r="AG33" i="1"/>
  <c r="AH33" i="1"/>
  <c r="AI33" i="1"/>
  <c r="AJ33" i="1"/>
  <c r="AK33" i="1"/>
  <c r="AL33" i="1"/>
  <c r="AM33" i="1"/>
  <c r="AT33" i="1"/>
  <c r="AX33" i="1"/>
  <c r="AY33" i="1"/>
  <c r="BB33" i="1"/>
  <c r="BG33" i="1"/>
  <c r="BJ33" i="1"/>
  <c r="M34" i="1"/>
  <c r="N34" i="1"/>
  <c r="P34" i="1"/>
  <c r="S34" i="1"/>
  <c r="V34" i="1"/>
  <c r="W34" i="1"/>
  <c r="Y34" i="1"/>
  <c r="Z34" i="1"/>
  <c r="AF34" i="1"/>
  <c r="AG34" i="1"/>
  <c r="AH34" i="1"/>
  <c r="AI34" i="1"/>
  <c r="AJ34" i="1"/>
  <c r="AK34" i="1"/>
  <c r="AL34" i="1"/>
  <c r="AM34" i="1"/>
  <c r="AT34" i="1"/>
  <c r="AX34" i="1"/>
  <c r="AY34" i="1"/>
  <c r="BB34" i="1"/>
  <c r="BG34" i="1"/>
  <c r="BJ34" i="1"/>
  <c r="M35" i="1"/>
  <c r="N35" i="1"/>
  <c r="P35" i="1"/>
  <c r="S35" i="1"/>
  <c r="V35" i="1"/>
  <c r="W35" i="1"/>
  <c r="Y35" i="1"/>
  <c r="Z35" i="1"/>
  <c r="AF35" i="1"/>
  <c r="AG35" i="1"/>
  <c r="AH35" i="1"/>
  <c r="AI35" i="1"/>
  <c r="AJ35" i="1"/>
  <c r="AK35" i="1"/>
  <c r="AL35" i="1"/>
  <c r="AM35" i="1"/>
  <c r="AT35" i="1"/>
  <c r="AX35" i="1"/>
  <c r="AY35" i="1"/>
  <c r="BB35" i="1"/>
  <c r="BG35" i="1"/>
  <c r="BJ35" i="1"/>
  <c r="M36" i="1"/>
  <c r="N36" i="1"/>
  <c r="P36" i="1"/>
  <c r="S36" i="1"/>
  <c r="V36" i="1"/>
  <c r="W36" i="1"/>
  <c r="Y36" i="1"/>
  <c r="Z36" i="1"/>
  <c r="AF36" i="1"/>
  <c r="AG36" i="1"/>
  <c r="AH36" i="1"/>
  <c r="AI36" i="1"/>
  <c r="AJ36" i="1"/>
  <c r="AK36" i="1"/>
  <c r="AL36" i="1"/>
  <c r="AM36" i="1"/>
  <c r="AT36" i="1"/>
  <c r="AX36" i="1"/>
  <c r="AY36" i="1"/>
  <c r="BB36" i="1"/>
  <c r="BG36" i="1"/>
  <c r="BJ36" i="1"/>
  <c r="M37" i="1"/>
  <c r="N37" i="1"/>
  <c r="P37" i="1"/>
  <c r="S37" i="1"/>
  <c r="V37" i="1"/>
  <c r="W37" i="1"/>
  <c r="Y37" i="1"/>
  <c r="Z37" i="1"/>
  <c r="AF37" i="1"/>
  <c r="AG37" i="1"/>
  <c r="AH37" i="1"/>
  <c r="AI37" i="1"/>
  <c r="AJ37" i="1"/>
  <c r="AK37" i="1"/>
  <c r="AL37" i="1"/>
  <c r="AM37" i="1"/>
  <c r="AT37" i="1"/>
  <c r="AX37" i="1"/>
  <c r="AY37" i="1"/>
  <c r="BB37" i="1"/>
  <c r="BG37" i="1"/>
  <c r="BJ37" i="1"/>
  <c r="M38" i="1"/>
  <c r="N38" i="1"/>
  <c r="P38" i="1"/>
  <c r="S38" i="1"/>
  <c r="V38" i="1"/>
  <c r="W38" i="1"/>
  <c r="Y38" i="1"/>
  <c r="Z38" i="1"/>
  <c r="AF38" i="1"/>
  <c r="AG38" i="1"/>
  <c r="AH38" i="1"/>
  <c r="AI38" i="1"/>
  <c r="AJ38" i="1"/>
  <c r="AK38" i="1"/>
  <c r="AL38" i="1"/>
  <c r="AM38" i="1"/>
  <c r="AT38" i="1"/>
  <c r="AX38" i="1"/>
  <c r="AY38" i="1"/>
  <c r="BB38" i="1"/>
  <c r="BG38" i="1"/>
  <c r="BJ38" i="1"/>
  <c r="M39" i="1"/>
  <c r="N39" i="1"/>
  <c r="P39" i="1"/>
  <c r="S39" i="1"/>
  <c r="V39" i="1"/>
  <c r="W39" i="1"/>
  <c r="Y39" i="1"/>
  <c r="Z39" i="1"/>
  <c r="AF39" i="1"/>
  <c r="AG39" i="1"/>
  <c r="AH39" i="1"/>
  <c r="AI39" i="1"/>
  <c r="AJ39" i="1"/>
  <c r="AK39" i="1"/>
  <c r="AL39" i="1"/>
  <c r="AM39" i="1"/>
  <c r="AT39" i="1"/>
  <c r="AX39" i="1"/>
  <c r="AY39" i="1"/>
  <c r="BB39" i="1"/>
  <c r="BG39" i="1"/>
  <c r="BJ39" i="1"/>
  <c r="M40" i="1"/>
  <c r="N40" i="1"/>
  <c r="P40" i="1"/>
  <c r="S40" i="1"/>
  <c r="V40" i="1"/>
  <c r="W40" i="1"/>
  <c r="Y40" i="1"/>
  <c r="Z40" i="1"/>
  <c r="AF40" i="1"/>
  <c r="AG40" i="1"/>
  <c r="AH40" i="1"/>
  <c r="AI40" i="1"/>
  <c r="AJ40" i="1"/>
  <c r="AK40" i="1"/>
  <c r="AL40" i="1"/>
  <c r="AM40" i="1"/>
  <c r="AT40" i="1"/>
  <c r="AX40" i="1"/>
  <c r="AY40" i="1"/>
  <c r="BB40" i="1"/>
  <c r="BG40" i="1"/>
  <c r="BJ40" i="1"/>
  <c r="M41" i="1"/>
  <c r="N41" i="1"/>
  <c r="P41" i="1"/>
  <c r="S41" i="1"/>
  <c r="V41" i="1"/>
  <c r="W41" i="1"/>
  <c r="Y41" i="1"/>
  <c r="Z41" i="1"/>
  <c r="AF41" i="1"/>
  <c r="AG41" i="1"/>
  <c r="AH41" i="1"/>
  <c r="AI41" i="1"/>
  <c r="AJ41" i="1"/>
  <c r="AK41" i="1"/>
  <c r="AL41" i="1"/>
  <c r="AM41" i="1"/>
  <c r="AT41" i="1"/>
  <c r="AX41" i="1"/>
  <c r="AY41" i="1"/>
  <c r="BB41" i="1"/>
  <c r="BG41" i="1"/>
  <c r="BJ41" i="1"/>
  <c r="M42" i="1"/>
  <c r="N42" i="1"/>
  <c r="P42" i="1"/>
  <c r="S42" i="1"/>
  <c r="V42" i="1"/>
  <c r="W42" i="1"/>
  <c r="Y42" i="1"/>
  <c r="Z42" i="1"/>
  <c r="AF42" i="1"/>
  <c r="AG42" i="1"/>
  <c r="AH42" i="1"/>
  <c r="AI42" i="1"/>
  <c r="AJ42" i="1"/>
  <c r="AK42" i="1"/>
  <c r="AL42" i="1"/>
  <c r="AM42" i="1"/>
  <c r="AT42" i="1"/>
  <c r="AX42" i="1"/>
  <c r="AY42" i="1"/>
  <c r="BB42" i="1"/>
  <c r="BG42" i="1"/>
  <c r="BJ42" i="1"/>
  <c r="M43" i="1"/>
  <c r="N43" i="1"/>
  <c r="P43" i="1"/>
  <c r="S43" i="1"/>
  <c r="V43" i="1"/>
  <c r="W43" i="1"/>
  <c r="Y43" i="1"/>
  <c r="Z43" i="1"/>
  <c r="AF43" i="1"/>
  <c r="AG43" i="1"/>
  <c r="AH43" i="1"/>
  <c r="AI43" i="1"/>
  <c r="AJ43" i="1"/>
  <c r="AK43" i="1"/>
  <c r="AL43" i="1"/>
  <c r="AM43" i="1"/>
  <c r="AT43" i="1"/>
  <c r="AX43" i="1"/>
  <c r="AY43" i="1"/>
  <c r="BB43" i="1"/>
  <c r="BG43" i="1"/>
  <c r="BJ43" i="1"/>
  <c r="M44" i="1"/>
  <c r="N44" i="1"/>
  <c r="P44" i="1"/>
  <c r="S44" i="1"/>
  <c r="V44" i="1"/>
  <c r="W44" i="1"/>
  <c r="Y44" i="1"/>
  <c r="Z44" i="1"/>
  <c r="AF44" i="1"/>
  <c r="AG44" i="1"/>
  <c r="AH44" i="1"/>
  <c r="AI44" i="1"/>
  <c r="AJ44" i="1"/>
  <c r="AK44" i="1"/>
  <c r="AL44" i="1"/>
  <c r="AM44" i="1"/>
  <c r="AT44" i="1"/>
  <c r="AX44" i="1"/>
  <c r="AY44" i="1"/>
  <c r="BB44" i="1"/>
  <c r="BG44" i="1"/>
  <c r="BJ44" i="1"/>
  <c r="M45" i="1"/>
  <c r="N45" i="1"/>
  <c r="P45" i="1"/>
  <c r="S45" i="1"/>
  <c r="V45" i="1"/>
  <c r="W45" i="1"/>
  <c r="Y45" i="1"/>
  <c r="Z45" i="1"/>
  <c r="AF45" i="1"/>
  <c r="AG45" i="1"/>
  <c r="AH45" i="1"/>
  <c r="AI45" i="1"/>
  <c r="AJ45" i="1"/>
  <c r="AK45" i="1"/>
  <c r="AL45" i="1"/>
  <c r="AM45" i="1"/>
  <c r="AT45" i="1"/>
  <c r="AX45" i="1"/>
  <c r="AY45" i="1"/>
  <c r="BB45" i="1"/>
  <c r="BG45" i="1"/>
  <c r="BJ45" i="1"/>
  <c r="M46" i="1"/>
  <c r="N46" i="1"/>
  <c r="P46" i="1"/>
  <c r="S46" i="1"/>
  <c r="V46" i="1"/>
  <c r="W46" i="1"/>
  <c r="Y46" i="1"/>
  <c r="Z46" i="1"/>
  <c r="AF46" i="1"/>
  <c r="AG46" i="1"/>
  <c r="AH46" i="1"/>
  <c r="AI46" i="1"/>
  <c r="AJ46" i="1"/>
  <c r="AK46" i="1"/>
  <c r="AL46" i="1"/>
  <c r="AM46" i="1"/>
  <c r="AT46" i="1"/>
  <c r="AX46" i="1"/>
  <c r="AY46" i="1"/>
  <c r="BB46" i="1"/>
  <c r="BG46" i="1"/>
  <c r="BJ46" i="1"/>
  <c r="M47" i="1"/>
  <c r="N47" i="1"/>
  <c r="P47" i="1"/>
  <c r="S47" i="1"/>
  <c r="V47" i="1"/>
  <c r="W47" i="1"/>
  <c r="Y47" i="1"/>
  <c r="Z47" i="1"/>
  <c r="AF47" i="1"/>
  <c r="AG47" i="1"/>
  <c r="AH47" i="1"/>
  <c r="AI47" i="1"/>
  <c r="AJ47" i="1"/>
  <c r="AK47" i="1"/>
  <c r="AL47" i="1"/>
  <c r="AM47" i="1"/>
  <c r="AT47" i="1"/>
  <c r="AX47" i="1"/>
  <c r="AY47" i="1"/>
  <c r="BB47" i="1"/>
  <c r="BG47" i="1"/>
  <c r="BJ47" i="1"/>
  <c r="M48" i="1"/>
  <c r="N48" i="1"/>
  <c r="P48" i="1"/>
  <c r="S48" i="1"/>
  <c r="V48" i="1"/>
  <c r="W48" i="1"/>
  <c r="Y48" i="1"/>
  <c r="Z48" i="1"/>
  <c r="AF48" i="1"/>
  <c r="AG48" i="1"/>
  <c r="AH48" i="1"/>
  <c r="AI48" i="1"/>
  <c r="AJ48" i="1"/>
  <c r="AK48" i="1"/>
  <c r="AL48" i="1"/>
  <c r="AM48" i="1"/>
  <c r="AT48" i="1"/>
  <c r="AX48" i="1"/>
  <c r="AY48" i="1"/>
  <c r="BB48" i="1"/>
  <c r="BG48" i="1"/>
  <c r="BJ48" i="1"/>
  <c r="M49" i="1"/>
  <c r="N49" i="1"/>
  <c r="P49" i="1"/>
  <c r="S49" i="1"/>
  <c r="V49" i="1"/>
  <c r="W49" i="1"/>
  <c r="Y49" i="1"/>
  <c r="Z49" i="1"/>
  <c r="AF49" i="1"/>
  <c r="AG49" i="1"/>
  <c r="AH49" i="1"/>
  <c r="AI49" i="1"/>
  <c r="AJ49" i="1"/>
  <c r="AK49" i="1"/>
  <c r="AL49" i="1"/>
  <c r="AM49" i="1"/>
  <c r="AT49" i="1"/>
  <c r="AX49" i="1"/>
  <c r="AY49" i="1"/>
  <c r="BB49" i="1"/>
  <c r="BG49" i="1"/>
  <c r="BJ49" i="1"/>
  <c r="M50" i="1"/>
  <c r="N50" i="1"/>
  <c r="P50" i="1"/>
  <c r="S50" i="1"/>
  <c r="V50" i="1"/>
  <c r="W50" i="1"/>
  <c r="Y50" i="1"/>
  <c r="Z50" i="1"/>
  <c r="AF50" i="1"/>
  <c r="AG50" i="1"/>
  <c r="AH50" i="1"/>
  <c r="AI50" i="1"/>
  <c r="AJ50" i="1"/>
  <c r="AK50" i="1"/>
  <c r="AL50" i="1"/>
  <c r="AM50" i="1"/>
  <c r="AT50" i="1"/>
  <c r="AX50" i="1"/>
  <c r="AY50" i="1"/>
  <c r="BB50" i="1"/>
  <c r="BG50" i="1"/>
  <c r="BJ50" i="1"/>
  <c r="M51" i="1"/>
  <c r="N51" i="1"/>
  <c r="P51" i="1"/>
  <c r="S51" i="1"/>
  <c r="V51" i="1"/>
  <c r="W51" i="1"/>
  <c r="Y51" i="1"/>
  <c r="Z51" i="1"/>
  <c r="AF51" i="1"/>
  <c r="AG51" i="1"/>
  <c r="AH51" i="1"/>
  <c r="AI51" i="1"/>
  <c r="AJ51" i="1"/>
  <c r="AK51" i="1"/>
  <c r="AL51" i="1"/>
  <c r="AM51" i="1"/>
  <c r="AT51" i="1"/>
  <c r="AX51" i="1"/>
  <c r="AY51" i="1"/>
  <c r="BB51" i="1"/>
  <c r="BG51" i="1"/>
  <c r="BJ51" i="1"/>
  <c r="M52" i="1"/>
  <c r="N52" i="1"/>
  <c r="P52" i="1"/>
  <c r="S52" i="1"/>
  <c r="V52" i="1"/>
  <c r="W52" i="1"/>
  <c r="Y52" i="1"/>
  <c r="Z52" i="1"/>
  <c r="AF52" i="1"/>
  <c r="AG52" i="1"/>
  <c r="AH52" i="1"/>
  <c r="AI52" i="1"/>
  <c r="AJ52" i="1"/>
  <c r="AK52" i="1"/>
  <c r="AL52" i="1"/>
  <c r="AM52" i="1"/>
  <c r="AT52" i="1"/>
  <c r="AX52" i="1"/>
  <c r="AY52" i="1"/>
  <c r="BB52" i="1"/>
  <c r="BG52" i="1"/>
  <c r="BJ52" i="1"/>
  <c r="M53" i="1"/>
  <c r="N53" i="1"/>
  <c r="P53" i="1"/>
  <c r="S53" i="1"/>
  <c r="V53" i="1"/>
  <c r="W53" i="1"/>
  <c r="Y53" i="1"/>
  <c r="Z53" i="1"/>
  <c r="AF53" i="1"/>
  <c r="AG53" i="1"/>
  <c r="AH53" i="1"/>
  <c r="AI53" i="1"/>
  <c r="AJ53" i="1"/>
  <c r="AK53" i="1"/>
  <c r="AL53" i="1"/>
  <c r="AM53" i="1"/>
  <c r="AT53" i="1"/>
  <c r="AX53" i="1"/>
  <c r="AY53" i="1"/>
  <c r="BB53" i="1"/>
  <c r="BG53" i="1"/>
  <c r="BJ53" i="1"/>
  <c r="AL1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P15" i="1"/>
  <c r="W15" i="1"/>
  <c r="M15" i="1"/>
  <c r="AG15" i="1"/>
  <c r="P16" i="1"/>
  <c r="W16" i="1"/>
  <c r="W17" i="1"/>
  <c r="P17" i="1"/>
  <c r="W18" i="1"/>
  <c r="P18" i="1"/>
  <c r="M19" i="1"/>
  <c r="M20" i="1"/>
  <c r="M21" i="1"/>
  <c r="W14" i="1"/>
  <c r="M14" i="1"/>
  <c r="P14" i="1"/>
  <c r="AG14" i="1"/>
  <c r="W9" i="1"/>
  <c r="M9" i="1"/>
  <c r="P9" i="1"/>
  <c r="AG9" i="1"/>
  <c r="AJ13" i="1"/>
  <c r="M11" i="1"/>
  <c r="P11" i="1"/>
  <c r="AG11" i="1"/>
  <c r="Z18" i="1"/>
  <c r="Z17" i="1"/>
  <c r="Z16" i="1"/>
  <c r="Z15" i="1"/>
  <c r="Z14" i="1"/>
  <c r="Z13" i="1"/>
  <c r="M10" i="1"/>
  <c r="N10" i="1"/>
  <c r="S10" i="1"/>
  <c r="W10" i="1"/>
  <c r="P10" i="1"/>
  <c r="AW10" i="1"/>
  <c r="AG10" i="1"/>
  <c r="AH10" i="1"/>
  <c r="AI10" i="1"/>
  <c r="AT10" i="1"/>
  <c r="AV10" i="1"/>
  <c r="AX10" i="1"/>
  <c r="S11" i="1"/>
  <c r="W11" i="1"/>
  <c r="N11" i="1"/>
  <c r="AW11" i="1"/>
  <c r="P12" i="1"/>
  <c r="S12" i="1"/>
  <c r="W12" i="1"/>
  <c r="M12" i="1"/>
  <c r="N12" i="1"/>
  <c r="AW12" i="1"/>
  <c r="P13" i="1"/>
  <c r="S13" i="1"/>
  <c r="W13" i="1"/>
  <c r="M13" i="1"/>
  <c r="N13" i="1"/>
  <c r="N14" i="1"/>
  <c r="S14" i="1"/>
  <c r="N15" i="1"/>
  <c r="S15" i="1"/>
  <c r="AW15" i="1"/>
  <c r="M16" i="1"/>
  <c r="N16" i="1"/>
  <c r="S16" i="1"/>
  <c r="AW16" i="1"/>
  <c r="M17" i="1"/>
  <c r="N17" i="1"/>
  <c r="S17" i="1"/>
  <c r="AW17" i="1"/>
  <c r="S18" i="1"/>
  <c r="N19" i="1"/>
  <c r="N20" i="1"/>
  <c r="N21" i="1"/>
  <c r="M3" i="1"/>
  <c r="N3" i="1"/>
  <c r="S3" i="1"/>
  <c r="W3" i="1"/>
  <c r="P3" i="1"/>
  <c r="AW3" i="1"/>
  <c r="M4" i="1"/>
  <c r="N4" i="1"/>
  <c r="S4" i="1"/>
  <c r="W4" i="1"/>
  <c r="P4" i="1"/>
  <c r="AW4" i="1"/>
  <c r="M5" i="1"/>
  <c r="N5" i="1"/>
  <c r="S5" i="1"/>
  <c r="W5" i="1"/>
  <c r="P5" i="1"/>
  <c r="AW5" i="1"/>
  <c r="M6" i="1"/>
  <c r="N6" i="1"/>
  <c r="S6" i="1"/>
  <c r="W6" i="1"/>
  <c r="P6" i="1"/>
  <c r="AW6" i="1"/>
  <c r="M7" i="1"/>
  <c r="N7" i="1"/>
  <c r="S7" i="1"/>
  <c r="W7" i="1"/>
  <c r="P7" i="1"/>
  <c r="AW7" i="1"/>
  <c r="M8" i="1"/>
  <c r="N8" i="1"/>
  <c r="S8" i="1"/>
  <c r="W8" i="1"/>
  <c r="P8" i="1"/>
  <c r="AW8" i="1"/>
  <c r="M2" i="1"/>
  <c r="N2" i="1"/>
  <c r="S2" i="1"/>
  <c r="AF2" i="1"/>
  <c r="P2" i="1"/>
  <c r="AW2" i="1"/>
  <c r="N9" i="1"/>
  <c r="S9" i="1"/>
  <c r="AW9" i="1"/>
  <c r="AH14" i="1"/>
  <c r="AI14" i="1"/>
  <c r="AT14" i="1"/>
  <c r="AH9" i="1"/>
  <c r="AI9" i="1"/>
  <c r="AT9" i="1"/>
  <c r="AV9" i="1"/>
  <c r="AG6" i="1"/>
  <c r="AG8" i="1"/>
  <c r="BP16" i="1"/>
  <c r="BP15" i="1"/>
  <c r="BP14" i="1"/>
  <c r="BP13" i="1"/>
  <c r="BP12" i="1"/>
  <c r="BP11" i="1"/>
  <c r="BP10" i="1"/>
  <c r="BP9" i="1"/>
  <c r="BP5" i="1"/>
  <c r="BP4" i="1"/>
  <c r="BP3" i="1"/>
  <c r="BP2" i="1"/>
  <c r="BP8" i="1"/>
  <c r="BP7" i="1"/>
  <c r="BP6" i="1"/>
  <c r="BJ7" i="1"/>
  <c r="AH11" i="1"/>
  <c r="AI11" i="1"/>
  <c r="AT11" i="1"/>
  <c r="AV11" i="1"/>
  <c r="AH12" i="1"/>
  <c r="AI12" i="1"/>
  <c r="AH13" i="1"/>
  <c r="AI13" i="1"/>
  <c r="AT13" i="1"/>
  <c r="AV13" i="1"/>
  <c r="AH15" i="1"/>
  <c r="AI15" i="1"/>
  <c r="AT15" i="1"/>
  <c r="AV15" i="1"/>
  <c r="AH16" i="1"/>
  <c r="AI16" i="1"/>
  <c r="AH17" i="1"/>
  <c r="AI17" i="1"/>
  <c r="AT17" i="1"/>
  <c r="AH18" i="1"/>
  <c r="AI18" i="1"/>
  <c r="AT18" i="1"/>
  <c r="AG2" i="1"/>
  <c r="AH2" i="1"/>
  <c r="AI2" i="1"/>
  <c r="AT2" i="1"/>
  <c r="W2" i="1"/>
  <c r="AV2" i="1"/>
  <c r="AG3" i="1"/>
  <c r="AH3" i="1"/>
  <c r="AI3" i="1"/>
  <c r="AT3" i="1"/>
  <c r="AV3" i="1"/>
  <c r="AG4" i="1"/>
  <c r="AH4" i="1"/>
  <c r="AI4" i="1"/>
  <c r="AT4" i="1"/>
  <c r="AV4" i="1"/>
  <c r="AG5" i="1"/>
  <c r="AH5" i="1"/>
  <c r="AI5" i="1"/>
  <c r="AT5" i="1"/>
  <c r="AV5" i="1"/>
  <c r="AH6" i="1"/>
  <c r="AI6" i="1"/>
  <c r="AT6" i="1"/>
  <c r="AV6" i="1"/>
  <c r="AG7" i="1"/>
  <c r="AH7" i="1"/>
  <c r="AI7" i="1"/>
  <c r="AT7" i="1"/>
  <c r="AV7" i="1"/>
  <c r="AH8" i="1"/>
  <c r="AI8" i="1"/>
  <c r="AT8" i="1"/>
  <c r="AV8" i="1"/>
  <c r="AF5" i="1"/>
  <c r="AF3" i="1"/>
  <c r="AF4" i="1"/>
  <c r="AF6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Y3" i="1"/>
  <c r="AY4" i="1"/>
  <c r="AY5" i="1"/>
  <c r="BG3" i="1"/>
  <c r="BG4" i="1"/>
  <c r="BG5" i="1"/>
  <c r="AX2" i="1"/>
  <c r="AX3" i="1"/>
  <c r="AX4" i="1"/>
  <c r="AX6" i="1"/>
  <c r="AX7" i="1"/>
  <c r="AX8" i="1"/>
  <c r="AX9" i="1"/>
  <c r="AX11" i="1"/>
  <c r="AX12" i="1"/>
  <c r="AX13" i="1"/>
  <c r="AX14" i="1"/>
  <c r="AX15" i="1"/>
  <c r="AX16" i="1"/>
  <c r="AX17" i="1"/>
  <c r="AX19" i="1"/>
  <c r="AX20" i="1"/>
  <c r="AX21" i="1"/>
  <c r="AK3" i="1"/>
  <c r="AL3" i="1"/>
  <c r="AM3" i="1"/>
  <c r="AK4" i="1"/>
  <c r="AL4" i="1"/>
  <c r="AM4" i="1"/>
  <c r="AK5" i="1"/>
  <c r="AL5" i="1"/>
  <c r="AM5" i="1"/>
  <c r="AK6" i="1"/>
  <c r="AL6" i="1"/>
  <c r="AM6" i="1"/>
  <c r="AK7" i="1"/>
  <c r="AL7" i="1"/>
  <c r="AM7" i="1"/>
  <c r="AK8" i="1"/>
  <c r="AL8" i="1"/>
  <c r="AM8" i="1"/>
  <c r="AK9" i="1"/>
  <c r="AL9" i="1"/>
  <c r="AM9" i="1"/>
  <c r="AK10" i="1"/>
  <c r="AL10" i="1"/>
  <c r="AM10" i="1"/>
  <c r="AK11" i="1"/>
  <c r="AL11" i="1"/>
  <c r="AM11" i="1"/>
  <c r="AL12" i="1"/>
  <c r="AM12" i="1"/>
  <c r="AK13" i="1"/>
  <c r="AL13" i="1"/>
  <c r="AM13" i="1"/>
  <c r="AK14" i="1"/>
  <c r="AL14" i="1"/>
  <c r="AM14" i="1"/>
  <c r="AK15" i="1"/>
  <c r="AL15" i="1"/>
  <c r="AM15" i="1"/>
  <c r="AK16" i="1"/>
  <c r="AL16" i="1"/>
  <c r="AM16" i="1"/>
  <c r="AM17" i="1"/>
  <c r="AK18" i="1"/>
  <c r="AL18" i="1"/>
  <c r="AM18" i="1"/>
  <c r="AK19" i="1"/>
  <c r="AL19" i="1"/>
  <c r="AM19" i="1"/>
  <c r="AK20" i="1"/>
  <c r="AL20" i="1"/>
  <c r="AM20" i="1"/>
  <c r="AK21" i="1"/>
  <c r="AL21" i="1"/>
  <c r="AM21" i="1"/>
  <c r="AK2" i="1"/>
  <c r="AL2" i="1"/>
  <c r="AM2" i="1"/>
  <c r="AJ3" i="1"/>
  <c r="AJ4" i="1"/>
  <c r="AJ5" i="1"/>
  <c r="AJ6" i="1"/>
  <c r="AJ7" i="1"/>
  <c r="AJ8" i="1"/>
  <c r="AJ9" i="1"/>
  <c r="AJ10" i="1"/>
  <c r="AJ11" i="1"/>
  <c r="AJ12" i="1"/>
  <c r="AJ14" i="1"/>
  <c r="AJ15" i="1"/>
  <c r="AJ16" i="1"/>
  <c r="AJ17" i="1"/>
  <c r="AJ18" i="1"/>
  <c r="AJ19" i="1"/>
  <c r="AJ20" i="1"/>
  <c r="AJ21" i="1"/>
  <c r="AJ2" i="1"/>
</calcChain>
</file>

<file path=xl/sharedStrings.xml><?xml version="1.0" encoding="utf-8"?>
<sst xmlns="http://schemas.openxmlformats.org/spreadsheetml/2006/main" count="120" uniqueCount="120">
  <si>
    <t>Periodo Paga</t>
  </si>
  <si>
    <t>Mansione</t>
  </si>
  <si>
    <t>Ferie Godute</t>
  </si>
  <si>
    <t>Ore Lavorate</t>
  </si>
  <si>
    <t>Paga Oraria</t>
  </si>
  <si>
    <t>Paga Giornaliera</t>
  </si>
  <si>
    <t>Retribuzione Base</t>
  </si>
  <si>
    <t>Contingenza</t>
  </si>
  <si>
    <t>Superminimo</t>
  </si>
  <si>
    <t>IM.AMM.VO-SEGRETARIO-3</t>
  </si>
  <si>
    <t>Giorni retribuiti</t>
  </si>
  <si>
    <t>Sttimane</t>
  </si>
  <si>
    <t>E.D.R.</t>
  </si>
  <si>
    <t xml:space="preserve">Totale </t>
  </si>
  <si>
    <t>(2) Competenze base</t>
  </si>
  <si>
    <t>(394) Trasferta Italia</t>
  </si>
  <si>
    <t>(999) Tot. lordo sogg contr</t>
  </si>
  <si>
    <t>(1) Contrib. FAP</t>
  </si>
  <si>
    <t>(127) Fondo int. sal. 5-15dp</t>
  </si>
  <si>
    <t>Inail Pat: 22099664/21 tar0000</t>
  </si>
  <si>
    <t>Totale rit. sociali</t>
  </si>
  <si>
    <t xml:space="preserve">Imponibile fiscale </t>
  </si>
  <si>
    <t>Impon. fiscale netto</t>
  </si>
  <si>
    <t>Rit. fiscale mese lorda</t>
  </si>
  <si>
    <t xml:space="preserve">Imponibile detrazione </t>
  </si>
  <si>
    <t>Detrazioni Fiscali</t>
  </si>
  <si>
    <t>Rirenuta fiscale mese netta</t>
  </si>
  <si>
    <t>Credito art.13 tuir</t>
  </si>
  <si>
    <t>Tot. ritenute</t>
  </si>
  <si>
    <t xml:space="preserve">Totale competenze </t>
  </si>
  <si>
    <t>Netto busta paga</t>
  </si>
  <si>
    <t xml:space="preserve">Ferie spettanti (gg) </t>
  </si>
  <si>
    <t xml:space="preserve">Ferie residue AP </t>
  </si>
  <si>
    <t>Ferie residue AC</t>
  </si>
  <si>
    <t xml:space="preserve">Festività spettanti </t>
  </si>
  <si>
    <t xml:space="preserve">Festività godute </t>
  </si>
  <si>
    <t xml:space="preserve">Festività residue AP </t>
  </si>
  <si>
    <t>Festività residue AC</t>
  </si>
  <si>
    <t xml:space="preserve">Perm. ROL residui AP </t>
  </si>
  <si>
    <t>Perm ROL residui AC</t>
  </si>
  <si>
    <t>Perm. ROL spett. ORE</t>
  </si>
  <si>
    <t>Prem. ROL goduti ORE</t>
  </si>
  <si>
    <t>Accant. TFR</t>
  </si>
  <si>
    <t>Imp. fisc anno</t>
  </si>
  <si>
    <t>Imposta pagata</t>
  </si>
  <si>
    <t xml:space="preserve">Detrazione effettuata </t>
  </si>
  <si>
    <t>Det. pers!</t>
  </si>
  <si>
    <t>Det. GG</t>
  </si>
  <si>
    <t>Giorni Lavorati</t>
  </si>
  <si>
    <t>Premio aziendale (72)</t>
  </si>
  <si>
    <t xml:space="preserve">(30) Festività </t>
  </si>
  <si>
    <t xml:space="preserve">Giorni festività </t>
  </si>
  <si>
    <t>Giorni Trasferta Italia</t>
  </si>
  <si>
    <t>valore trasferta Italia</t>
  </si>
  <si>
    <t>Detr. ore assenze ORE (3)</t>
  </si>
  <si>
    <t>Detr. ore assenze Importo (3)</t>
  </si>
  <si>
    <t>Detr. ore assenze Totale (3)</t>
  </si>
  <si>
    <t>P.I.R. Goduti (33) ORE</t>
  </si>
  <si>
    <t>P.I.R. Goduti (33) IMPORTO</t>
  </si>
  <si>
    <t>P.I.R. Goduti (33) TOTALE</t>
  </si>
  <si>
    <t>Add. com rata pagata (E885)</t>
  </si>
  <si>
    <t>Add. reg. rata pagata (PU)</t>
  </si>
  <si>
    <t>Acc. add comunale (E885)</t>
  </si>
  <si>
    <t>Ferie godute (31) GIORNI</t>
  </si>
  <si>
    <t>Ferie godute (31) importo</t>
  </si>
  <si>
    <t>Ferie godute (31) TOTALE</t>
  </si>
  <si>
    <t>Carenza malattia/inf (210) Giorni</t>
  </si>
  <si>
    <t>Carenza malattia/inf (210) Importo</t>
  </si>
  <si>
    <t>Carenza malattia/inf (210)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</si>
</sst>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mmmm\-yy;@"/>
    <numFmt numFmtId="165" formatCode="#,##0.00\ [$€-410]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</font>
    <font>
      <sz val="6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505050"/>
      </left>
      <right style="thin">
        <color auto="1"/>
      </right>
      <top style="medium">
        <color rgb="FF505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505050"/>
      </top>
      <bottom style="thin">
        <color auto="1"/>
      </bottom>
      <diagonal/>
    </border>
    <border>
      <left style="thin">
        <color auto="1"/>
      </left>
      <right style="medium">
        <color rgb="FF505050"/>
      </right>
      <top style="medium">
        <color rgb="FF505050"/>
      </top>
      <bottom style="thin">
        <color auto="1"/>
      </bottom>
      <diagonal/>
    </border>
    <border>
      <left style="medium">
        <color rgb="FF50505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505050"/>
      </right>
      <top style="thin">
        <color auto="1"/>
      </top>
      <bottom style="thin">
        <color auto="1"/>
      </bottom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rgb="FF50505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rgb="FF505050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 vertical="center"/>
    </xf>
    <xf numFmtId="165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right" vertical="center"/>
    </xf>
    <xf numFmtId="0" fontId="0" fillId="0" borderId="0" xfId="0" applyNumberFormat="1"/>
    <xf numFmtId="165" fontId="1" fillId="3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/>
    <xf numFmtId="4" fontId="0" fillId="0" borderId="0" xfId="0" applyNumberFormat="1"/>
    <xf numFmtId="165" fontId="1" fillId="4" borderId="3" xfId="0" applyNumberFormat="1" applyFont="1" applyFill="1" applyBorder="1" applyAlignment="1">
      <alignment horizontal="center"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horizontal="right" vertical="center"/>
    </xf>
    <xf numFmtId="165" fontId="0" fillId="0" borderId="0" xfId="0" applyNumberFormat="1" applyBorder="1"/>
    <xf numFmtId="165" fontId="0" fillId="0" borderId="8" xfId="0" applyNumberFormat="1" applyBorder="1"/>
    <xf numFmtId="165" fontId="0" fillId="0" borderId="9" xfId="0" applyNumberForma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165" fontId="1" fillId="3" borderId="11" xfId="0" applyNumberFormat="1" applyFont="1" applyFill="1" applyBorder="1" applyAlignment="1">
      <alignment horizontal="center" vertical="center" wrapText="1"/>
    </xf>
    <xf numFmtId="165" fontId="1" fillId="3" borderId="10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165" fontId="1" fillId="3" borderId="9" xfId="0" applyNumberFormat="1" applyFont="1" applyFill="1" applyBorder="1" applyAlignment="1">
      <alignment horizontal="center" vertical="center" wrapText="1"/>
    </xf>
    <xf numFmtId="165" fontId="1" fillId="4" borderId="12" xfId="0" applyNumberFormat="1" applyFont="1" applyFill="1" applyBorder="1" applyAlignment="1">
      <alignment horizontal="center" vertical="center" wrapText="1"/>
    </xf>
    <xf numFmtId="165" fontId="0" fillId="0" borderId="12" xfId="0" applyNumberFormat="1" applyBorder="1" applyAlignment="1">
      <alignment horizontal="right" vertical="center"/>
    </xf>
    <xf numFmtId="3" fontId="1" fillId="4" borderId="13" xfId="0" applyNumberFormat="1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/>
    </xf>
    <xf numFmtId="3" fontId="0" fillId="0" borderId="5" xfId="0" applyNumberFormat="1" applyFont="1" applyBorder="1" applyAlignment="1">
      <alignment horizontal="center" vertical="center"/>
    </xf>
    <xf numFmtId="3" fontId="0" fillId="0" borderId="7" xfId="0" applyNumberFormat="1" applyFont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 wrapText="1"/>
    </xf>
    <xf numFmtId="165" fontId="1" fillId="4" borderId="3" xfId="0" applyNumberFormat="1" applyFont="1" applyFill="1" applyBorder="1" applyAlignment="1">
      <alignment horizontal="right" vertical="center" wrapText="1"/>
    </xf>
    <xf numFmtId="165" fontId="1" fillId="3" borderId="11" xfId="0" applyNumberFormat="1" applyFont="1" applyFill="1" applyBorder="1" applyAlignment="1">
      <alignment horizontal="right" vertical="center" wrapText="1"/>
    </xf>
    <xf numFmtId="165" fontId="0" fillId="0" borderId="5" xfId="0" applyNumberFormat="1" applyFont="1" applyBorder="1" applyAlignment="1">
      <alignment horizontal="right" vertical="center"/>
    </xf>
    <xf numFmtId="165" fontId="0" fillId="0" borderId="0" xfId="0" applyNumberFormat="1" applyBorder="1" applyAlignment="1">
      <alignment horizontal="right"/>
    </xf>
    <xf numFmtId="4" fontId="1" fillId="4" borderId="2" xfId="0" applyNumberFormat="1" applyFont="1" applyFill="1" applyBorder="1" applyAlignment="1">
      <alignment horizontal="center" vertical="center" wrapText="1"/>
    </xf>
    <xf numFmtId="4" fontId="0" fillId="0" borderId="5" xfId="0" applyNumberFormat="1" applyBorder="1" applyAlignment="1">
      <alignment horizontal="right" vertical="center"/>
    </xf>
    <xf numFmtId="4" fontId="0" fillId="0" borderId="7" xfId="0" applyNumberForma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3"/>
  <sheetViews>
    <sheetView tabSelected="1" workbookViewId="0">
      <pane xSplit="1" ySplit="2" topLeftCell="B3" activePane="bottomRight" state="frozen"/>
      <selection activeCell="A3" sqref="A3"/>
      <selection pane="bottomLeft"/>
      <selection pane="topRight" activeCell="AH1" sqref="AH1"/>
      <selection pane="bottomRight" activeCell="E27" sqref="E27"/>
    </sheetView>
  </sheetViews>
  <sheetFormatPr defaultRowHeight="15" x14ac:dyDescent="0.2"/>
  <cols>
    <col min="1" max="1" width="14.9296875" style="7" customWidth="1"/>
    <col min="2" max="2" width="24.6171875" bestFit="1" customWidth="1"/>
    <col min="3" max="6" width="11.97265625" customWidth="1"/>
    <col min="7" max="7" width="14.9296875" style="10" customWidth="1"/>
    <col min="8" max="9" width="11.97265625" style="10" customWidth="1"/>
    <col min="10" max="10" width="11.97265625" style="13" customWidth="1"/>
    <col min="11" max="14" width="11.97265625" style="10" customWidth="1"/>
    <col min="15" max="15" width="11.97265625" style="33" customWidth="1"/>
    <col min="16" max="16" width="11.97265625" style="26" customWidth="1"/>
    <col min="17" max="17" width="11.97265625" style="39" customWidth="1"/>
    <col min="18" max="18" width="11.97265625" style="25" customWidth="1"/>
    <col min="19" max="19" width="11.97265625" style="26" customWidth="1"/>
    <col min="20" max="20" width="11.97265625" style="10" customWidth="1"/>
    <col min="21" max="21" width="11.97265625" style="41" customWidth="1"/>
    <col min="22" max="23" width="11.97265625" style="25" customWidth="1"/>
    <col min="24" max="24" width="11.97265625" style="41" customWidth="1"/>
    <col min="25" max="26" width="11.97265625" style="46" customWidth="1"/>
    <col min="27" max="27" width="11.97265625" style="41" customWidth="1"/>
    <col min="28" max="29" width="11.97265625" style="46" customWidth="1"/>
    <col min="30" max="30" width="11.97265625" style="49" customWidth="1"/>
    <col min="31" max="31" width="11.97265625" style="25" customWidth="1"/>
    <col min="32" max="32" width="11.97265625" style="26" customWidth="1"/>
    <col min="33" max="50" width="11.97265625" style="10" customWidth="1"/>
    <col min="51" max="51" width="11.97265625" style="21" customWidth="1"/>
    <col min="52" max="58" width="11.97265625" customWidth="1"/>
    <col min="59" max="62" width="11.97265625" style="20" customWidth="1"/>
    <col min="63" max="63" width="9.953125" style="10" customWidth="1"/>
    <col min="64" max="64" width="11.97265625" style="10" customWidth="1"/>
    <col min="65" max="65" width="14.9296875" style="10" customWidth="1"/>
    <col min="66" max="66" width="11.97265625" style="10" customWidth="1"/>
    <col min="67" max="67" width="11.97265625" customWidth="1"/>
    <col min="68" max="68" width="11.97265625" style="10" customWidth="1"/>
  </cols>
  <sheetData>
    <row r="1" spans="1:68" ht="54.75" x14ac:dyDescent="0.2">
      <c r="A1" s="5" t="s">
        <v>0</v>
      </c>
      <c r="B1" s="1" t="s">
        <v>1</v>
      </c>
      <c r="C1" s="1" t="s">
        <v>3</v>
      </c>
      <c r="D1" s="1" t="s">
        <v>48</v>
      </c>
      <c r="E1" s="1" t="s">
        <v>10</v>
      </c>
      <c r="F1" s="1" t="s">
        <v>11</v>
      </c>
      <c r="G1" s="8" t="s">
        <v>6</v>
      </c>
      <c r="H1" s="8" t="s">
        <v>7</v>
      </c>
      <c r="I1" s="8" t="s">
        <v>8</v>
      </c>
      <c r="J1" s="11" t="s">
        <v>12</v>
      </c>
      <c r="K1" s="8" t="s">
        <v>4</v>
      </c>
      <c r="L1" s="8" t="s">
        <v>5</v>
      </c>
      <c r="M1" s="14" t="s">
        <v>13</v>
      </c>
      <c r="N1" s="34" t="s">
        <v>14</v>
      </c>
      <c r="O1" s="31" t="s">
        <v>51</v>
      </c>
      <c r="P1" s="23" t="s">
        <v>50</v>
      </c>
      <c r="Q1" s="37" t="s">
        <v>52</v>
      </c>
      <c r="R1" s="22" t="s">
        <v>53</v>
      </c>
      <c r="S1" s="23" t="s">
        <v>15</v>
      </c>
      <c r="T1" s="35" t="s">
        <v>49</v>
      </c>
      <c r="U1" s="31" t="s">
        <v>54</v>
      </c>
      <c r="V1" s="22" t="s">
        <v>55</v>
      </c>
      <c r="W1" s="29" t="s">
        <v>56</v>
      </c>
      <c r="X1" s="31" t="s">
        <v>63</v>
      </c>
      <c r="Y1" s="43" t="s">
        <v>64</v>
      </c>
      <c r="Z1" s="44" t="s">
        <v>65</v>
      </c>
      <c r="AA1" s="31" t="s">
        <v>66</v>
      </c>
      <c r="AB1" s="22" t="s">
        <v>67</v>
      </c>
      <c r="AC1" s="29" t="s">
        <v>68</v>
      </c>
      <c r="AD1" s="47" t="s">
        <v>57</v>
      </c>
      <c r="AE1" s="22" t="s">
        <v>58</v>
      </c>
      <c r="AF1" s="23" t="s">
        <v>59</v>
      </c>
      <c r="AG1" s="30" t="s">
        <v>16</v>
      </c>
      <c r="AH1" s="14" t="s">
        <v>17</v>
      </c>
      <c r="AI1" s="14" t="s">
        <v>18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5" t="s">
        <v>24</v>
      </c>
      <c r="AP1" s="15" t="s">
        <v>25</v>
      </c>
      <c r="AQ1" s="15" t="s">
        <v>61</v>
      </c>
      <c r="AR1" s="15" t="s">
        <v>60</v>
      </c>
      <c r="AS1" s="15" t="s">
        <v>62</v>
      </c>
      <c r="AT1" s="14" t="s">
        <v>26</v>
      </c>
      <c r="AU1" s="15" t="s">
        <v>27</v>
      </c>
      <c r="AV1" s="14" t="s">
        <v>28</v>
      </c>
      <c r="AW1" s="14" t="s">
        <v>29</v>
      </c>
      <c r="AX1" s="14" t="s">
        <v>30</v>
      </c>
      <c r="AY1" s="42" t="s">
        <v>31</v>
      </c>
      <c r="AZ1" s="16" t="s">
        <v>2</v>
      </c>
      <c r="BA1" s="16" t="s">
        <v>32</v>
      </c>
      <c r="BB1" s="16" t="s">
        <v>33</v>
      </c>
      <c r="BC1" s="17" t="s">
        <v>34</v>
      </c>
      <c r="BD1" s="17" t="s">
        <v>35</v>
      </c>
      <c r="BE1" s="17" t="s">
        <v>36</v>
      </c>
      <c r="BF1" s="17" t="s">
        <v>37</v>
      </c>
      <c r="BG1" s="18" t="s">
        <v>40</v>
      </c>
      <c r="BH1" s="18" t="s">
        <v>41</v>
      </c>
      <c r="BI1" s="18" t="s">
        <v>38</v>
      </c>
      <c r="BJ1" s="18" t="s">
        <v>39</v>
      </c>
      <c r="BK1" s="8" t="s">
        <v>42</v>
      </c>
      <c r="BL1" s="8" t="s">
        <v>43</v>
      </c>
      <c r="BM1" s="8" t="s">
        <v>44</v>
      </c>
      <c r="BN1" s="8" t="s">
        <v>46</v>
      </c>
      <c r="BO1" s="1" t="s">
        <v>47</v>
      </c>
      <c r="BP1" s="14" t="s">
        <v>45</v>
      </c>
    </row>
    <row r="2" spans="1:68" x14ac:dyDescent="0.2">
      <c r="A2" s="6">
        <v>42979</v>
      </c>
      <c r="B2" s="2" t="s">
        <v>9</v>
      </c>
      <c r="C2" s="4">
        <v>168</v>
      </c>
      <c r="D2" s="3">
        <v>21</v>
      </c>
      <c r="E2" s="3">
        <v>26</v>
      </c>
      <c r="F2" s="3">
        <v>5</v>
      </c>
      <c r="G2" s="9">
        <v>1244.6400000000001</v>
      </c>
      <c r="H2" s="9">
        <v>527.9</v>
      </c>
      <c r="I2" s="9">
        <v>385</v>
      </c>
      <c r="J2" s="12">
        <v>2.0699999999999998</v>
      </c>
      <c r="K2" s="9">
        <v>12.85482</v>
      </c>
      <c r="L2" s="9">
        <v>83.061920000000001</v>
      </c>
      <c r="M2" s="9">
        <f>SUM(G2:J2)</f>
        <v>2159.61</v>
      </c>
      <c r="N2" s="27">
        <f>M2</f>
        <v>2159.61</v>
      </c>
      <c r="O2" s="32">
        <v>0</v>
      </c>
      <c r="P2" s="24">
        <f>O2*L2</f>
        <v>0</v>
      </c>
      <c r="Q2" s="38">
        <v>21</v>
      </c>
      <c r="R2" s="9">
        <v>9.5229999999999997</v>
      </c>
      <c r="S2" s="24">
        <f>Q2*R2</f>
        <v>199.983</v>
      </c>
      <c r="T2" s="36">
        <v>0</v>
      </c>
      <c r="U2" s="40">
        <v>0</v>
      </c>
      <c r="V2" s="9">
        <f>IF(U2&gt;0,K2,0)</f>
        <v>0</v>
      </c>
      <c r="W2" s="27">
        <f>U2*V2</f>
        <v>0</v>
      </c>
      <c r="X2" s="40">
        <v>0</v>
      </c>
      <c r="Y2" s="45">
        <f>IF(X2&gt;0,L2,0)</f>
        <v>0</v>
      </c>
      <c r="Z2" s="45">
        <v>0</v>
      </c>
      <c r="AA2" s="40">
        <v>0</v>
      </c>
      <c r="AB2" s="45">
        <f>IF(AA2&gt;0,L2,0)</f>
        <v>0</v>
      </c>
      <c r="AC2" s="45">
        <v>0</v>
      </c>
      <c r="AD2" s="48">
        <v>0</v>
      </c>
      <c r="AE2" s="9">
        <v>0</v>
      </c>
      <c r="AF2" s="24">
        <f>AD2*AE2</f>
        <v>0</v>
      </c>
      <c r="AG2" s="28">
        <f>M2+T2</f>
        <v>2159.61</v>
      </c>
      <c r="AH2" s="9">
        <f>ROUND(AG2,0)*9.19%</f>
        <v>198.50399999999999</v>
      </c>
      <c r="AI2" s="9">
        <f>ROUND(AG2,0)*0.15%</f>
        <v>3.24</v>
      </c>
      <c r="AJ2" s="9">
        <f>ROUND(AG2,0)</f>
        <v>2160</v>
      </c>
      <c r="AK2" s="9">
        <f>AH2+AI2</f>
        <v>201.744</v>
      </c>
      <c r="AL2" s="9">
        <f>AG2-AK2</f>
        <v>1957.8660000000002</v>
      </c>
      <c r="AM2" s="9">
        <f>AL2</f>
        <v>1957.8660000000002</v>
      </c>
      <c r="AN2" s="9">
        <v>478.62</v>
      </c>
      <c r="AO2" s="9">
        <v>11507.82</v>
      </c>
      <c r="AP2" s="9">
        <v>141.52000000000001</v>
      </c>
      <c r="AQ2" s="9">
        <v>0</v>
      </c>
      <c r="AR2" s="9">
        <v>0</v>
      </c>
      <c r="AS2" s="9">
        <v>0</v>
      </c>
      <c r="AT2" s="9">
        <f>AN2-AP2</f>
        <v>337.1</v>
      </c>
      <c r="AU2" s="9">
        <v>78.900000000000006</v>
      </c>
      <c r="AV2" s="9">
        <f t="shared" ref="AV2:AV7" si="0">AH2+AI2+AT2+W2+AQ2+AR2+AS2</f>
        <v>538.84400000000005</v>
      </c>
      <c r="AW2" s="9">
        <f t="shared" ref="AW2:AW4" si="1">N2+S2+AU2+T2+AF2+P2</f>
        <v>2438.4930000000004</v>
      </c>
      <c r="AX2" s="9">
        <f>ROUND(AW2-AV2,0)</f>
        <v>1900</v>
      </c>
      <c r="AY2" s="4">
        <v>2.17</v>
      </c>
      <c r="AZ2" s="3">
        <v>0</v>
      </c>
      <c r="BA2" s="3">
        <v>0</v>
      </c>
      <c r="BB2" s="3">
        <v>2.17</v>
      </c>
      <c r="BC2" s="3">
        <v>0</v>
      </c>
      <c r="BD2" s="3">
        <v>0</v>
      </c>
      <c r="BE2" s="3">
        <v>0</v>
      </c>
      <c r="BF2" s="3">
        <v>0</v>
      </c>
      <c r="BG2" s="19">
        <v>2.67</v>
      </c>
      <c r="BH2" s="19">
        <v>0</v>
      </c>
      <c r="BI2" s="19">
        <v>0</v>
      </c>
      <c r="BJ2" s="19">
        <v>2.67</v>
      </c>
      <c r="BK2" s="9">
        <v>174.78</v>
      </c>
      <c r="BL2" s="9">
        <v>2143.48</v>
      </c>
      <c r="BM2" s="9">
        <v>365.64</v>
      </c>
      <c r="BN2" s="9">
        <v>141.52000000000001</v>
      </c>
      <c r="BO2" s="4">
        <v>30</v>
      </c>
      <c r="BP2" s="9">
        <f>BN2</f>
        <v>141.52000000000001</v>
      </c>
    </row>
    <row r="3" spans="1:68" x14ac:dyDescent="0.2">
      <c r="A3" s="6">
        <v>43009</v>
      </c>
      <c r="B3" s="2" t="s">
        <v>9</v>
      </c>
      <c r="C3" s="4">
        <v>176</v>
      </c>
      <c r="D3" s="3">
        <v>22</v>
      </c>
      <c r="E3" s="3">
        <v>26</v>
      </c>
      <c r="F3" s="3">
        <v>4</v>
      </c>
      <c r="G3" s="9">
        <v>1244.6400000000001</v>
      </c>
      <c r="H3" s="9">
        <v>527.9</v>
      </c>
      <c r="I3" s="9">
        <v>385</v>
      </c>
      <c r="J3" s="12">
        <v>2.0699999999999998</v>
      </c>
      <c r="K3" s="9">
        <v>12.85482</v>
      </c>
      <c r="L3" s="9">
        <v>83.061920000000001</v>
      </c>
      <c r="M3" s="9">
        <f t="shared" ref="M3:M21" si="2">SUM(G3:J3)</f>
        <v>2159.61</v>
      </c>
      <c r="N3" s="27">
        <f t="shared" ref="N3:N21" si="3">M3</f>
        <v>2159.61</v>
      </c>
      <c r="O3" s="32">
        <v>0</v>
      </c>
      <c r="P3" s="24">
        <f t="shared" ref="P3:P21" si="4">O3*L3</f>
        <v>0</v>
      </c>
      <c r="Q3" s="38">
        <v>22</v>
      </c>
      <c r="R3" s="9">
        <v>9.1</v>
      </c>
      <c r="S3" s="24">
        <f t="shared" ref="S3:S21" si="5">Q3*R3</f>
        <v>200.2</v>
      </c>
      <c r="T3" s="36">
        <v>140</v>
      </c>
      <c r="U3" s="40">
        <v>0</v>
      </c>
      <c r="V3" s="9">
        <f t="shared" ref="V3:V21" si="6">IF(U3&gt;0,K3,0)</f>
        <v>0</v>
      </c>
      <c r="W3" s="27">
        <f t="shared" ref="W3:W21" si="7">U3*V3</f>
        <v>0</v>
      </c>
      <c r="X3" s="40">
        <v>0</v>
      </c>
      <c r="Y3" s="45">
        <f t="shared" ref="Y3:Y21" si="8">IF(X3&gt;0,L3,0)</f>
        <v>0</v>
      </c>
      <c r="Z3" s="45">
        <v>0</v>
      </c>
      <c r="AA3" s="40">
        <v>0</v>
      </c>
      <c r="AB3" s="45">
        <f t="shared" ref="AB3:AB53" si="9">IF(AA3&gt;0,L3,0)</f>
        <v>0</v>
      </c>
      <c r="AC3" s="45">
        <v>0</v>
      </c>
      <c r="AD3" s="48">
        <v>0</v>
      </c>
      <c r="AE3" s="9">
        <v>0</v>
      </c>
      <c r="AF3" s="24">
        <f t="shared" ref="AF3:AF21" si="10">AD3*AE3</f>
        <v>0</v>
      </c>
      <c r="AG3" s="28">
        <f>M3+T3</f>
        <v>2299.61</v>
      </c>
      <c r="AH3" s="9">
        <f t="shared" ref="AH3:AH21" si="11">ROUND(AG3,0)*9.19%</f>
        <v>211.36999999999998</v>
      </c>
      <c r="AI3" s="9">
        <f t="shared" ref="AI3:AI21" si="12">ROUND(AG3,0)*0.15%</f>
        <v>3.45</v>
      </c>
      <c r="AJ3" s="9">
        <f t="shared" ref="AJ3:AJ21" si="13">ROUND(AG3,0)</f>
        <v>2300</v>
      </c>
      <c r="AK3" s="9">
        <f t="shared" ref="AK3:AK21" si="14">AH3+AI3</f>
        <v>214.81999999999996</v>
      </c>
      <c r="AL3" s="9">
        <f t="shared" ref="AL3:AL21" si="15">AG3-AK3</f>
        <v>2084.79</v>
      </c>
      <c r="AM3" s="9">
        <f t="shared" ref="AM3:AM22" si="16">AL3</f>
        <v>2084.79</v>
      </c>
      <c r="AN3" s="9">
        <v>512.89</v>
      </c>
      <c r="AO3" s="9">
        <v>11507.82</v>
      </c>
      <c r="AP3" s="9">
        <v>146.22999999999999</v>
      </c>
      <c r="AQ3" s="9">
        <v>0</v>
      </c>
      <c r="AR3" s="9">
        <v>0</v>
      </c>
      <c r="AS3" s="9">
        <v>0</v>
      </c>
      <c r="AT3" s="9">
        <f t="shared" ref="AT3:AT21" si="17">AN3-AP3</f>
        <v>366.65999999999997</v>
      </c>
      <c r="AU3" s="9">
        <v>81.53</v>
      </c>
      <c r="AV3" s="9">
        <f t="shared" si="0"/>
        <v>581.4799999999999</v>
      </c>
      <c r="AW3" s="9">
        <f t="shared" ref="AW3:AW8" si="18">N3+S3+AU3+T3+W3+P3</f>
        <v>2581.34</v>
      </c>
      <c r="AX3" s="9">
        <f t="shared" ref="AX3:AX21" si="19">ROUND(AW3-AV3,0)</f>
        <v>2000</v>
      </c>
      <c r="AY3" s="4">
        <f>$AY$2+AY2</f>
        <v>4.34</v>
      </c>
      <c r="AZ3" s="3">
        <v>0</v>
      </c>
      <c r="BA3" s="3">
        <v>0</v>
      </c>
      <c r="BB3" s="4">
        <f t="shared" ref="BB3:BB13" si="20">BB2+$AY$2-X3</f>
        <v>4.34</v>
      </c>
      <c r="BC3" s="3">
        <v>0</v>
      </c>
      <c r="BD3" s="3">
        <v>0</v>
      </c>
      <c r="BE3" s="3">
        <v>0</v>
      </c>
      <c r="BF3" s="3">
        <v>0</v>
      </c>
      <c r="BG3" s="19">
        <f>$BG$2+BG2</f>
        <v>5.34</v>
      </c>
      <c r="BH3" s="19">
        <v>0</v>
      </c>
      <c r="BI3" s="19">
        <v>0</v>
      </c>
      <c r="BJ3" s="19">
        <f>BJ2+$BJ$2-BH3</f>
        <v>5.34</v>
      </c>
      <c r="BK3" s="9">
        <v>185.17</v>
      </c>
      <c r="BL3" s="9">
        <v>4228.2700000000004</v>
      </c>
      <c r="BM3" s="9">
        <v>732.3</v>
      </c>
      <c r="BN3" s="9">
        <v>146.22999999999999</v>
      </c>
      <c r="BO3" s="4">
        <v>31</v>
      </c>
      <c r="BP3" s="9">
        <f>BN2+BN3</f>
        <v>287.75</v>
      </c>
    </row>
    <row r="4" spans="1:68" x14ac:dyDescent="0.2">
      <c r="A4" s="6">
        <v>43040</v>
      </c>
      <c r="B4" s="2" t="s">
        <v>9</v>
      </c>
      <c r="C4" s="4">
        <v>168</v>
      </c>
      <c r="D4" s="3">
        <v>21</v>
      </c>
      <c r="E4" s="3">
        <v>26</v>
      </c>
      <c r="F4" s="3">
        <v>4</v>
      </c>
      <c r="G4" s="9">
        <v>1244.6400000000001</v>
      </c>
      <c r="H4" s="9">
        <v>527.9</v>
      </c>
      <c r="I4" s="9">
        <v>385</v>
      </c>
      <c r="J4" s="12">
        <v>2.0699999999999998</v>
      </c>
      <c r="K4" s="9">
        <v>12.85482</v>
      </c>
      <c r="L4" s="9">
        <v>83.061920000000001</v>
      </c>
      <c r="M4" s="9">
        <f t="shared" si="2"/>
        <v>2159.61</v>
      </c>
      <c r="N4" s="27">
        <f t="shared" si="3"/>
        <v>2159.61</v>
      </c>
      <c r="O4" s="32">
        <v>1</v>
      </c>
      <c r="P4" s="24">
        <f t="shared" si="4"/>
        <v>83.061920000000001</v>
      </c>
      <c r="Q4" s="38">
        <v>21</v>
      </c>
      <c r="R4" s="9">
        <v>9.52</v>
      </c>
      <c r="S4" s="24">
        <f t="shared" si="5"/>
        <v>199.92</v>
      </c>
      <c r="T4" s="36">
        <v>68</v>
      </c>
      <c r="U4" s="40">
        <v>0</v>
      </c>
      <c r="V4" s="9">
        <f t="shared" si="6"/>
        <v>0</v>
      </c>
      <c r="W4" s="27">
        <f t="shared" si="7"/>
        <v>0</v>
      </c>
      <c r="X4" s="40">
        <v>0</v>
      </c>
      <c r="Y4" s="45">
        <f t="shared" si="8"/>
        <v>0</v>
      </c>
      <c r="Z4" s="45">
        <v>0</v>
      </c>
      <c r="AA4" s="40">
        <v>0</v>
      </c>
      <c r="AB4" s="45">
        <f t="shared" si="9"/>
        <v>0</v>
      </c>
      <c r="AC4" s="45">
        <v>0</v>
      </c>
      <c r="AD4" s="48">
        <v>0</v>
      </c>
      <c r="AE4" s="9">
        <v>0</v>
      </c>
      <c r="AF4" s="24">
        <f t="shared" si="10"/>
        <v>0</v>
      </c>
      <c r="AG4" s="28">
        <f>M4+T4+P4</f>
        <v>2310.6719200000002</v>
      </c>
      <c r="AH4" s="9">
        <f t="shared" si="11"/>
        <v>212.3809</v>
      </c>
      <c r="AI4" s="9">
        <f t="shared" si="12"/>
        <v>3.4664999999999999</v>
      </c>
      <c r="AJ4" s="9">
        <f t="shared" si="13"/>
        <v>2311</v>
      </c>
      <c r="AK4" s="9">
        <f t="shared" si="14"/>
        <v>215.84739999999999</v>
      </c>
      <c r="AL4" s="9">
        <f t="shared" si="15"/>
        <v>2094.8245200000001</v>
      </c>
      <c r="AM4" s="9">
        <f t="shared" si="16"/>
        <v>2094.8245200000001</v>
      </c>
      <c r="AN4" s="9">
        <v>515.6</v>
      </c>
      <c r="AO4" s="9">
        <v>11507.82</v>
      </c>
      <c r="AP4" s="9">
        <v>141.52000000000001</v>
      </c>
      <c r="AQ4" s="9">
        <v>0</v>
      </c>
      <c r="AR4" s="9">
        <v>0</v>
      </c>
      <c r="AS4" s="9">
        <v>0</v>
      </c>
      <c r="AT4" s="9">
        <f t="shared" si="17"/>
        <v>374.08000000000004</v>
      </c>
      <c r="AU4" s="9">
        <v>78.900000000000006</v>
      </c>
      <c r="AV4" s="9">
        <f t="shared" si="0"/>
        <v>589.92740000000003</v>
      </c>
      <c r="AW4" s="9">
        <f t="shared" si="18"/>
        <v>2589.4919200000004</v>
      </c>
      <c r="AX4" s="9">
        <f t="shared" si="19"/>
        <v>2000</v>
      </c>
      <c r="AY4" s="4">
        <f t="shared" ref="AY4:AY53" si="21">$AY$2+AY3</f>
        <v>6.51</v>
      </c>
      <c r="AZ4" s="3">
        <v>0</v>
      </c>
      <c r="BA4" s="3">
        <v>0</v>
      </c>
      <c r="BB4" s="4">
        <f t="shared" si="20"/>
        <v>6.51</v>
      </c>
      <c r="BC4" s="3">
        <v>0</v>
      </c>
      <c r="BD4" s="3">
        <v>0</v>
      </c>
      <c r="BE4" s="3">
        <v>0</v>
      </c>
      <c r="BF4" s="3">
        <v>0</v>
      </c>
      <c r="BG4" s="19">
        <f t="shared" ref="BG4:BG53" si="22">$BG$2+BG3</f>
        <v>8.01</v>
      </c>
      <c r="BH4" s="19">
        <v>0</v>
      </c>
      <c r="BI4" s="19">
        <v>0</v>
      </c>
      <c r="BJ4" s="19">
        <f t="shared" ref="BJ4:BJ6" si="23">BJ3+$BJ$2-BH4</f>
        <v>8.01</v>
      </c>
      <c r="BK4" s="9">
        <v>185.97</v>
      </c>
      <c r="BL4" s="9">
        <v>6323.09</v>
      </c>
      <c r="BM4" s="9">
        <v>1106.3800000000001</v>
      </c>
      <c r="BN4" s="9">
        <v>141.51</v>
      </c>
      <c r="BO4" s="4">
        <v>30</v>
      </c>
      <c r="BP4" s="9">
        <f>BN2+BN3+BN4</f>
        <v>429.26</v>
      </c>
    </row>
    <row r="5" spans="1:68" x14ac:dyDescent="0.2">
      <c r="A5" s="6">
        <v>43070</v>
      </c>
      <c r="B5" s="2" t="s">
        <v>9</v>
      </c>
      <c r="C5" s="4">
        <v>144</v>
      </c>
      <c r="D5" s="3">
        <v>18</v>
      </c>
      <c r="E5" s="3">
        <v>26</v>
      </c>
      <c r="F5" s="3">
        <v>5</v>
      </c>
      <c r="G5" s="9">
        <v>1244.6400000000001</v>
      </c>
      <c r="H5" s="9">
        <v>527.9</v>
      </c>
      <c r="I5" s="9">
        <v>385</v>
      </c>
      <c r="J5" s="12">
        <v>2.0699999999999998</v>
      </c>
      <c r="K5" s="9">
        <v>12.85482</v>
      </c>
      <c r="L5" s="9">
        <v>83.061920000000001</v>
      </c>
      <c r="M5" s="9">
        <f t="shared" si="2"/>
        <v>2159.61</v>
      </c>
      <c r="N5" s="27">
        <f t="shared" si="3"/>
        <v>2159.61</v>
      </c>
      <c r="O5" s="32">
        <v>2</v>
      </c>
      <c r="P5" s="24">
        <f t="shared" si="4"/>
        <v>166.12384</v>
      </c>
      <c r="Q5" s="38">
        <v>0</v>
      </c>
      <c r="R5" s="9">
        <v>0</v>
      </c>
      <c r="S5" s="24">
        <f t="shared" si="5"/>
        <v>0</v>
      </c>
      <c r="T5" s="36">
        <v>23</v>
      </c>
      <c r="U5" s="40">
        <v>0</v>
      </c>
      <c r="V5" s="9">
        <f t="shared" si="6"/>
        <v>0</v>
      </c>
      <c r="W5" s="27">
        <f t="shared" si="7"/>
        <v>0</v>
      </c>
      <c r="X5" s="40">
        <v>0</v>
      </c>
      <c r="Y5" s="45">
        <f t="shared" si="8"/>
        <v>0</v>
      </c>
      <c r="Z5" s="45">
        <v>0</v>
      </c>
      <c r="AA5" s="40">
        <v>0</v>
      </c>
      <c r="AB5" s="45">
        <f t="shared" si="9"/>
        <v>0</v>
      </c>
      <c r="AC5" s="45">
        <v>0</v>
      </c>
      <c r="AD5" s="48">
        <v>0</v>
      </c>
      <c r="AE5" s="9">
        <v>0</v>
      </c>
      <c r="AF5" s="24">
        <f t="shared" si="10"/>
        <v>0</v>
      </c>
      <c r="AG5" s="28">
        <f>M5+T5+P5</f>
        <v>2348.7338400000003</v>
      </c>
      <c r="AH5" s="9">
        <f t="shared" si="11"/>
        <v>215.87309999999999</v>
      </c>
      <c r="AI5" s="9">
        <f t="shared" si="12"/>
        <v>3.5234999999999999</v>
      </c>
      <c r="AJ5" s="9">
        <f t="shared" si="13"/>
        <v>2349</v>
      </c>
      <c r="AK5" s="9">
        <f t="shared" si="14"/>
        <v>219.39660000000001</v>
      </c>
      <c r="AL5" s="9">
        <f t="shared" si="15"/>
        <v>2129.3372400000003</v>
      </c>
      <c r="AM5" s="9">
        <f t="shared" si="16"/>
        <v>2129.3372400000003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f t="shared" si="17"/>
        <v>0</v>
      </c>
      <c r="AU5" s="9">
        <v>0</v>
      </c>
      <c r="AV5" s="9">
        <f t="shared" si="0"/>
        <v>219.39660000000001</v>
      </c>
      <c r="AW5" s="9">
        <f t="shared" si="18"/>
        <v>2348.7338400000003</v>
      </c>
      <c r="AX5" s="9">
        <v>2000</v>
      </c>
      <c r="AY5" s="4">
        <f t="shared" si="21"/>
        <v>8.68</v>
      </c>
      <c r="AZ5" s="3">
        <v>0</v>
      </c>
      <c r="BA5" s="3">
        <v>0</v>
      </c>
      <c r="BB5" s="4">
        <f t="shared" si="20"/>
        <v>8.68</v>
      </c>
      <c r="BC5" s="3">
        <v>0</v>
      </c>
      <c r="BD5" s="3">
        <v>0</v>
      </c>
      <c r="BE5" s="3">
        <v>0</v>
      </c>
      <c r="BF5" s="3">
        <v>0</v>
      </c>
      <c r="BG5" s="19">
        <f t="shared" si="22"/>
        <v>10.68</v>
      </c>
      <c r="BH5" s="19">
        <v>0</v>
      </c>
      <c r="BI5" s="19">
        <v>0</v>
      </c>
      <c r="BJ5" s="19">
        <f t="shared" si="23"/>
        <v>10.68</v>
      </c>
      <c r="BK5" s="9">
        <v>173.98</v>
      </c>
      <c r="BL5" s="9">
        <v>9105.0499999999993</v>
      </c>
      <c r="BM5" s="9">
        <v>1467.41</v>
      </c>
      <c r="BN5" s="9">
        <v>626.75</v>
      </c>
      <c r="BO5" s="4">
        <v>31</v>
      </c>
      <c r="BP5" s="9">
        <f>BN5</f>
        <v>626.75</v>
      </c>
    </row>
    <row r="6" spans="1:68" x14ac:dyDescent="0.2">
      <c r="A6" s="6">
        <v>43101</v>
      </c>
      <c r="B6" s="2" t="s">
        <v>9</v>
      </c>
      <c r="C6" s="4">
        <v>152</v>
      </c>
      <c r="D6" s="3">
        <v>19</v>
      </c>
      <c r="E6" s="3">
        <v>26</v>
      </c>
      <c r="F6" s="3">
        <v>4</v>
      </c>
      <c r="G6" s="9">
        <v>1244.6400000000001</v>
      </c>
      <c r="H6" s="9">
        <v>527.9</v>
      </c>
      <c r="I6" s="9">
        <v>385</v>
      </c>
      <c r="J6" s="12">
        <v>2.0699999999999998</v>
      </c>
      <c r="K6" s="9">
        <v>12.85482</v>
      </c>
      <c r="L6" s="9">
        <v>83.061920000000001</v>
      </c>
      <c r="M6" s="9">
        <f t="shared" si="2"/>
        <v>2159.61</v>
      </c>
      <c r="N6" s="27">
        <f t="shared" si="3"/>
        <v>2159.61</v>
      </c>
      <c r="O6" s="32">
        <v>1</v>
      </c>
      <c r="P6" s="24">
        <f>O6*L6</f>
        <v>83.061920000000001</v>
      </c>
      <c r="Q6" s="38">
        <v>19</v>
      </c>
      <c r="R6" s="9">
        <v>20.74</v>
      </c>
      <c r="S6" s="24">
        <f t="shared" ref="S6" si="24">Q6*R6</f>
        <v>394.05999999999995</v>
      </c>
      <c r="T6" s="36">
        <v>0</v>
      </c>
      <c r="U6" s="40">
        <v>24</v>
      </c>
      <c r="V6" s="9">
        <f t="shared" si="6"/>
        <v>12.85482</v>
      </c>
      <c r="W6" s="27">
        <f t="shared" si="7"/>
        <v>308.51567999999997</v>
      </c>
      <c r="X6" s="40">
        <v>0</v>
      </c>
      <c r="Y6" s="45">
        <f t="shared" si="8"/>
        <v>0</v>
      </c>
      <c r="Z6" s="45">
        <v>0</v>
      </c>
      <c r="AA6" s="40">
        <v>0</v>
      </c>
      <c r="AB6" s="45">
        <f t="shared" si="9"/>
        <v>0</v>
      </c>
      <c r="AC6" s="45">
        <v>0</v>
      </c>
      <c r="AD6" s="48">
        <v>24</v>
      </c>
      <c r="AE6" s="9">
        <v>12.85482</v>
      </c>
      <c r="AF6" s="24">
        <f t="shared" si="10"/>
        <v>308.51567999999997</v>
      </c>
      <c r="AG6" s="28">
        <f>M6+T6+P6</f>
        <v>2242.6719200000002</v>
      </c>
      <c r="AH6" s="9">
        <f t="shared" si="11"/>
        <v>206.1317</v>
      </c>
      <c r="AI6" s="9">
        <f t="shared" si="12"/>
        <v>3.3645</v>
      </c>
      <c r="AJ6" s="9">
        <f t="shared" si="13"/>
        <v>2243</v>
      </c>
      <c r="AK6" s="9">
        <f t="shared" si="14"/>
        <v>209.49619999999999</v>
      </c>
      <c r="AL6" s="9">
        <f t="shared" si="15"/>
        <v>2033.1757200000002</v>
      </c>
      <c r="AM6" s="9">
        <f t="shared" si="16"/>
        <v>2033.1757200000002</v>
      </c>
      <c r="AN6" s="9">
        <v>498.96</v>
      </c>
      <c r="AO6" s="9">
        <v>26586.75</v>
      </c>
      <c r="AP6" s="9">
        <v>88.47</v>
      </c>
      <c r="AQ6" s="9">
        <v>11</v>
      </c>
      <c r="AR6" s="9">
        <v>6.62</v>
      </c>
      <c r="AS6" s="9">
        <v>0</v>
      </c>
      <c r="AT6" s="9">
        <f t="shared" si="17"/>
        <v>410.49</v>
      </c>
      <c r="AU6" s="9">
        <v>0.54</v>
      </c>
      <c r="AV6" s="9">
        <f t="shared" si="0"/>
        <v>946.12188000000003</v>
      </c>
      <c r="AW6" s="9">
        <f t="shared" si="18"/>
        <v>2945.7876000000001</v>
      </c>
      <c r="AX6" s="9">
        <f t="shared" si="19"/>
        <v>2000</v>
      </c>
      <c r="AY6" s="4">
        <v>2.17</v>
      </c>
      <c r="AZ6" s="3">
        <v>0</v>
      </c>
      <c r="BA6" s="3">
        <v>8.67</v>
      </c>
      <c r="BB6" s="4">
        <f t="shared" si="20"/>
        <v>10.85</v>
      </c>
      <c r="BC6" s="3">
        <v>0</v>
      </c>
      <c r="BD6" s="3">
        <v>0</v>
      </c>
      <c r="BE6" s="3">
        <v>0</v>
      </c>
      <c r="BF6" s="3">
        <v>0</v>
      </c>
      <c r="BG6" s="19">
        <v>2.67</v>
      </c>
      <c r="BH6" s="19">
        <v>24</v>
      </c>
      <c r="BI6" s="19">
        <v>10.67</v>
      </c>
      <c r="BJ6" s="19">
        <f t="shared" si="23"/>
        <v>-10.65</v>
      </c>
      <c r="BK6" s="9">
        <v>195.31</v>
      </c>
      <c r="BL6" s="9">
        <v>2033.18</v>
      </c>
      <c r="BM6" s="9">
        <v>410.49</v>
      </c>
      <c r="BN6" s="9">
        <v>88.47</v>
      </c>
      <c r="BO6" s="4">
        <v>31</v>
      </c>
      <c r="BP6" s="9">
        <f>BN6</f>
        <v>88.47</v>
      </c>
    </row>
    <row r="7" spans="1:68" x14ac:dyDescent="0.2">
      <c r="A7" s="6">
        <v>43132</v>
      </c>
      <c r="B7" s="2" t="s">
        <v>9</v>
      </c>
      <c r="C7" s="4">
        <v>160</v>
      </c>
      <c r="D7" s="3">
        <v>20</v>
      </c>
      <c r="E7" s="3">
        <v>26</v>
      </c>
      <c r="F7" s="3">
        <v>4</v>
      </c>
      <c r="G7" s="9">
        <v>1244.6400000000001</v>
      </c>
      <c r="H7" s="9">
        <v>527.9</v>
      </c>
      <c r="I7" s="9">
        <v>385</v>
      </c>
      <c r="J7" s="12">
        <v>2.0699999999999998</v>
      </c>
      <c r="K7" s="9">
        <v>12.85482</v>
      </c>
      <c r="L7" s="9">
        <v>83.061920000000001</v>
      </c>
      <c r="M7" s="9">
        <f t="shared" si="2"/>
        <v>2159.61</v>
      </c>
      <c r="N7" s="27">
        <f t="shared" si="3"/>
        <v>2159.61</v>
      </c>
      <c r="O7" s="32">
        <v>0</v>
      </c>
      <c r="P7" s="24">
        <f t="shared" si="4"/>
        <v>0</v>
      </c>
      <c r="Q7" s="38">
        <v>20</v>
      </c>
      <c r="R7" s="9">
        <v>10</v>
      </c>
      <c r="S7" s="24">
        <f t="shared" si="5"/>
        <v>200</v>
      </c>
      <c r="T7" s="36">
        <v>390</v>
      </c>
      <c r="U7" s="40">
        <v>0</v>
      </c>
      <c r="V7" s="9">
        <f t="shared" si="6"/>
        <v>0</v>
      </c>
      <c r="W7" s="27">
        <f t="shared" si="7"/>
        <v>0</v>
      </c>
      <c r="X7" s="40">
        <v>0</v>
      </c>
      <c r="Y7" s="45">
        <f t="shared" si="8"/>
        <v>0</v>
      </c>
      <c r="Z7" s="45">
        <v>0</v>
      </c>
      <c r="AA7" s="40">
        <v>0</v>
      </c>
      <c r="AB7" s="45">
        <f t="shared" si="9"/>
        <v>0</v>
      </c>
      <c r="AC7" s="45">
        <v>0</v>
      </c>
      <c r="AD7" s="48">
        <v>0</v>
      </c>
      <c r="AE7" s="9">
        <v>0</v>
      </c>
      <c r="AF7" s="24">
        <f t="shared" si="10"/>
        <v>0</v>
      </c>
      <c r="AG7" s="28">
        <f t="shared" ref="AG5:AG21" si="25">M7+T7+P7</f>
        <v>2549.61</v>
      </c>
      <c r="AH7" s="9">
        <f t="shared" si="11"/>
        <v>234.345</v>
      </c>
      <c r="AI7" s="9">
        <f t="shared" si="12"/>
        <v>3.8250000000000002</v>
      </c>
      <c r="AJ7" s="9">
        <f t="shared" si="13"/>
        <v>2550</v>
      </c>
      <c r="AK7" s="9">
        <f t="shared" si="14"/>
        <v>238.17</v>
      </c>
      <c r="AL7" s="9">
        <f t="shared" si="15"/>
        <v>2311.44</v>
      </c>
      <c r="AM7" s="9">
        <f t="shared" si="16"/>
        <v>2311.44</v>
      </c>
      <c r="AN7" s="9">
        <v>574.09</v>
      </c>
      <c r="AO7" s="9">
        <v>26586.75</v>
      </c>
      <c r="AP7" s="9">
        <v>79.91</v>
      </c>
      <c r="AQ7" s="9">
        <v>11.01</v>
      </c>
      <c r="AR7" s="9">
        <v>6.62</v>
      </c>
      <c r="AS7" s="9">
        <v>0</v>
      </c>
      <c r="AT7" s="9">
        <f t="shared" si="17"/>
        <v>494.18000000000006</v>
      </c>
      <c r="AU7" s="9">
        <v>0.49</v>
      </c>
      <c r="AV7" s="9">
        <f t="shared" si="0"/>
        <v>749.98</v>
      </c>
      <c r="AW7" s="9">
        <f t="shared" si="18"/>
        <v>2750.1</v>
      </c>
      <c r="AX7" s="9">
        <f t="shared" si="19"/>
        <v>2000</v>
      </c>
      <c r="AY7" s="4">
        <f>$AY$2+AY6</f>
        <v>4.34</v>
      </c>
      <c r="AZ7" s="3">
        <v>0</v>
      </c>
      <c r="BA7" s="3">
        <v>8.67</v>
      </c>
      <c r="BB7" s="4">
        <f t="shared" si="20"/>
        <v>13.02</v>
      </c>
      <c r="BC7" s="3">
        <v>0</v>
      </c>
      <c r="BD7" s="3">
        <v>0</v>
      </c>
      <c r="BE7" s="3">
        <v>0</v>
      </c>
      <c r="BF7" s="3">
        <v>0</v>
      </c>
      <c r="BG7" s="19">
        <f t="shared" si="22"/>
        <v>5.34</v>
      </c>
      <c r="BH7" s="19">
        <v>24</v>
      </c>
      <c r="BI7" s="19">
        <v>10.67</v>
      </c>
      <c r="BJ7" s="19">
        <f>$BJ$6+BG6</f>
        <v>-7.98</v>
      </c>
      <c r="BK7" s="9">
        <v>203.67</v>
      </c>
      <c r="BL7" s="9">
        <v>4344.6099999999997</v>
      </c>
      <c r="BM7" s="9">
        <v>904.67</v>
      </c>
      <c r="BN7" s="9">
        <v>79.91</v>
      </c>
      <c r="BO7" s="4">
        <v>28</v>
      </c>
      <c r="BP7" s="9">
        <f>BN6+BN7</f>
        <v>168.38</v>
      </c>
    </row>
    <row r="8" spans="1:68" x14ac:dyDescent="0.2">
      <c r="A8" s="6">
        <v>43160</v>
      </c>
      <c r="B8" s="2" t="s">
        <v>9</v>
      </c>
      <c r="C8" s="4">
        <v>176</v>
      </c>
      <c r="D8" s="3">
        <v>22</v>
      </c>
      <c r="E8" s="3">
        <v>26</v>
      </c>
      <c r="F8" s="3">
        <v>5</v>
      </c>
      <c r="G8" s="9">
        <v>1263.1400000000001</v>
      </c>
      <c r="H8" s="9">
        <v>527.9</v>
      </c>
      <c r="I8" s="9">
        <v>385</v>
      </c>
      <c r="J8" s="12">
        <v>2.0699999999999998</v>
      </c>
      <c r="K8" s="9">
        <v>12.96494</v>
      </c>
      <c r="L8" s="9">
        <v>83.77346</v>
      </c>
      <c r="M8" s="9">
        <f t="shared" si="2"/>
        <v>2178.11</v>
      </c>
      <c r="N8" s="27">
        <f t="shared" si="3"/>
        <v>2178.11</v>
      </c>
      <c r="O8" s="32">
        <v>0</v>
      </c>
      <c r="P8" s="24">
        <f t="shared" si="4"/>
        <v>0</v>
      </c>
      <c r="Q8" s="38">
        <v>22</v>
      </c>
      <c r="R8" s="9">
        <v>22.73</v>
      </c>
      <c r="S8" s="24">
        <f t="shared" si="5"/>
        <v>500.06</v>
      </c>
      <c r="T8" s="36">
        <v>362</v>
      </c>
      <c r="U8" s="40">
        <v>0</v>
      </c>
      <c r="V8" s="9">
        <f t="shared" si="6"/>
        <v>0</v>
      </c>
      <c r="W8" s="27">
        <f t="shared" si="7"/>
        <v>0</v>
      </c>
      <c r="X8" s="40">
        <v>0</v>
      </c>
      <c r="Y8" s="45">
        <f t="shared" si="8"/>
        <v>0</v>
      </c>
      <c r="Z8" s="45">
        <v>0</v>
      </c>
      <c r="AA8" s="40">
        <v>0</v>
      </c>
      <c r="AB8" s="45">
        <f t="shared" si="9"/>
        <v>0</v>
      </c>
      <c r="AC8" s="45">
        <v>0</v>
      </c>
      <c r="AD8" s="48">
        <v>0</v>
      </c>
      <c r="AE8" s="9">
        <v>0</v>
      </c>
      <c r="AF8" s="24">
        <f t="shared" si="10"/>
        <v>0</v>
      </c>
      <c r="AG8" s="28">
        <f>M8+T8+P8</f>
        <v>2540.11</v>
      </c>
      <c r="AH8" s="9">
        <f t="shared" si="11"/>
        <v>233.42599999999999</v>
      </c>
      <c r="AI8" s="9">
        <f t="shared" si="12"/>
        <v>3.81</v>
      </c>
      <c r="AJ8" s="9">
        <f t="shared" si="13"/>
        <v>2540</v>
      </c>
      <c r="AK8" s="9">
        <f t="shared" si="14"/>
        <v>237.23599999999999</v>
      </c>
      <c r="AL8" s="9">
        <f t="shared" si="15"/>
        <v>2302.8740000000003</v>
      </c>
      <c r="AM8" s="9">
        <f t="shared" si="16"/>
        <v>2302.8740000000003</v>
      </c>
      <c r="AN8" s="9">
        <v>571.77</v>
      </c>
      <c r="AO8" s="9">
        <v>26586.75</v>
      </c>
      <c r="AP8" s="9">
        <v>88.47</v>
      </c>
      <c r="AQ8" s="9">
        <v>11.01</v>
      </c>
      <c r="AR8" s="9">
        <v>6.62</v>
      </c>
      <c r="AS8" s="9">
        <v>2.42</v>
      </c>
      <c r="AT8" s="9">
        <f t="shared" si="17"/>
        <v>483.29999999999995</v>
      </c>
      <c r="AU8" s="9">
        <v>0.54</v>
      </c>
      <c r="AV8" s="9">
        <f>AH8+AI8+AT8+W8+AQ8+AR8+AS8</f>
        <v>740.5859999999999</v>
      </c>
      <c r="AW8" s="9">
        <f t="shared" si="18"/>
        <v>3040.71</v>
      </c>
      <c r="AX8" s="9">
        <f t="shared" si="19"/>
        <v>2300</v>
      </c>
      <c r="AY8" s="4">
        <f t="shared" si="21"/>
        <v>6.51</v>
      </c>
      <c r="AZ8" s="3">
        <v>0</v>
      </c>
      <c r="BA8" s="3">
        <v>8.67</v>
      </c>
      <c r="BB8" s="4">
        <f t="shared" si="20"/>
        <v>15.19</v>
      </c>
      <c r="BC8" s="3">
        <v>0</v>
      </c>
      <c r="BD8" s="3">
        <v>0</v>
      </c>
      <c r="BE8" s="3">
        <v>0</v>
      </c>
      <c r="BF8" s="3">
        <v>0</v>
      </c>
      <c r="BG8" s="19">
        <f t="shared" si="22"/>
        <v>8.01</v>
      </c>
      <c r="BH8" s="19">
        <v>24</v>
      </c>
      <c r="BI8" s="19">
        <v>10.67</v>
      </c>
      <c r="BJ8" s="19">
        <f>$BJ$6+BG7-0.02</f>
        <v>-5.33</v>
      </c>
      <c r="BK8" s="9">
        <v>225.2</v>
      </c>
      <c r="BL8" s="9">
        <v>6647.48</v>
      </c>
      <c r="BM8" s="9">
        <v>1387.97</v>
      </c>
      <c r="BN8" s="9">
        <v>88.47</v>
      </c>
      <c r="BO8" s="4">
        <v>31</v>
      </c>
      <c r="BP8" s="9">
        <f>BN6+BN7+BN8</f>
        <v>256.85000000000002</v>
      </c>
    </row>
    <row r="9" spans="1:68" x14ac:dyDescent="0.2">
      <c r="A9" s="6">
        <v>43191</v>
      </c>
      <c r="B9" s="2" t="s">
        <v>9</v>
      </c>
      <c r="C9" s="4">
        <v>144</v>
      </c>
      <c r="D9" s="3">
        <v>18</v>
      </c>
      <c r="E9" s="3">
        <v>26</v>
      </c>
      <c r="F9" s="3">
        <v>4</v>
      </c>
      <c r="G9" s="9">
        <v>1263.1400000000001</v>
      </c>
      <c r="H9" s="9">
        <v>527.9</v>
      </c>
      <c r="I9" s="9">
        <v>385</v>
      </c>
      <c r="J9" s="12">
        <v>2.0699999999999998</v>
      </c>
      <c r="K9" s="9">
        <v>12.96494</v>
      </c>
      <c r="L9" s="9">
        <v>83.77346</v>
      </c>
      <c r="M9" s="9">
        <f t="shared" si="2"/>
        <v>2178.11</v>
      </c>
      <c r="N9" s="27">
        <f t="shared" si="3"/>
        <v>2178.11</v>
      </c>
      <c r="O9" s="32">
        <v>2</v>
      </c>
      <c r="P9" s="24">
        <f t="shared" si="4"/>
        <v>167.54692</v>
      </c>
      <c r="Q9" s="38">
        <v>18</v>
      </c>
      <c r="R9" s="9">
        <v>11.11</v>
      </c>
      <c r="S9" s="24">
        <f t="shared" si="5"/>
        <v>199.98</v>
      </c>
      <c r="T9" s="36">
        <v>95</v>
      </c>
      <c r="U9" s="40">
        <v>8</v>
      </c>
      <c r="V9" s="9">
        <f t="shared" si="6"/>
        <v>12.96494</v>
      </c>
      <c r="W9" s="27">
        <f t="shared" si="7"/>
        <v>103.71952</v>
      </c>
      <c r="X9" s="40">
        <v>0</v>
      </c>
      <c r="Y9" s="45">
        <f t="shared" si="8"/>
        <v>0</v>
      </c>
      <c r="Z9" s="45">
        <v>0</v>
      </c>
      <c r="AA9" s="40">
        <v>0</v>
      </c>
      <c r="AB9" s="45">
        <f t="shared" si="9"/>
        <v>0</v>
      </c>
      <c r="AC9" s="45">
        <v>0</v>
      </c>
      <c r="AD9" s="48">
        <v>0</v>
      </c>
      <c r="AE9" s="9">
        <v>0</v>
      </c>
      <c r="AF9" s="24">
        <f t="shared" si="10"/>
        <v>0</v>
      </c>
      <c r="AG9" s="28">
        <f>M9+T9+P9+W9</f>
        <v>2544.3764400000005</v>
      </c>
      <c r="AH9" s="9">
        <f t="shared" si="11"/>
        <v>233.7936</v>
      </c>
      <c r="AI9" s="9">
        <f t="shared" si="12"/>
        <v>3.8160000000000003</v>
      </c>
      <c r="AJ9" s="9">
        <f t="shared" si="13"/>
        <v>2544</v>
      </c>
      <c r="AK9" s="9">
        <f t="shared" si="14"/>
        <v>237.6096</v>
      </c>
      <c r="AL9" s="9">
        <f t="shared" si="15"/>
        <v>2306.7668400000002</v>
      </c>
      <c r="AM9" s="9">
        <f t="shared" si="16"/>
        <v>2306.7668400000002</v>
      </c>
      <c r="AN9" s="9">
        <v>572.83000000000004</v>
      </c>
      <c r="AO9" s="9">
        <v>26586.75</v>
      </c>
      <c r="AP9" s="9">
        <v>85.62</v>
      </c>
      <c r="AQ9" s="9">
        <v>11.01</v>
      </c>
      <c r="AR9" s="9">
        <v>6.62</v>
      </c>
      <c r="AS9" s="9">
        <v>2.4300000000000002</v>
      </c>
      <c r="AT9" s="9">
        <f t="shared" si="17"/>
        <v>487.21000000000004</v>
      </c>
      <c r="AU9" s="9">
        <v>0.52</v>
      </c>
      <c r="AV9" s="9">
        <f>AH9+AI9+AT9+AQ9+AR9+AS9</f>
        <v>744.87959999999998</v>
      </c>
      <c r="AW9" s="9">
        <f>N9+S9+AU9+T9+W9+P9</f>
        <v>2744.87644</v>
      </c>
      <c r="AX9" s="9">
        <f t="shared" si="19"/>
        <v>2000</v>
      </c>
      <c r="AY9" s="4">
        <f t="shared" si="21"/>
        <v>8.68</v>
      </c>
      <c r="AZ9" s="3">
        <v>0</v>
      </c>
      <c r="BA9" s="3">
        <v>8.67</v>
      </c>
      <c r="BB9" s="4">
        <f t="shared" si="20"/>
        <v>17.36</v>
      </c>
      <c r="BC9" s="3">
        <v>0</v>
      </c>
      <c r="BD9" s="3">
        <v>0</v>
      </c>
      <c r="BE9" s="3">
        <v>0</v>
      </c>
      <c r="BF9" s="3">
        <v>0</v>
      </c>
      <c r="BG9" s="19">
        <f>$BG$2+BG8-0.01</f>
        <v>10.67</v>
      </c>
      <c r="BH9" s="19">
        <v>32</v>
      </c>
      <c r="BI9" s="19">
        <v>10.67</v>
      </c>
      <c r="BJ9" s="19">
        <f>BJ8-U9+$BG$2</f>
        <v>-10.66</v>
      </c>
      <c r="BK9" s="9">
        <v>203.29</v>
      </c>
      <c r="BL9" s="9">
        <v>8954.25</v>
      </c>
      <c r="BM9" s="9">
        <v>1875.18</v>
      </c>
      <c r="BN9" s="9">
        <v>85.62</v>
      </c>
      <c r="BO9" s="4">
        <v>30</v>
      </c>
      <c r="BP9" s="9">
        <f>SUM(BN6:BN9)</f>
        <v>342.47</v>
      </c>
    </row>
    <row r="10" spans="1:68" x14ac:dyDescent="0.2">
      <c r="A10" s="6">
        <v>43221</v>
      </c>
      <c r="B10" s="2" t="s">
        <v>9</v>
      </c>
      <c r="C10" s="4">
        <v>176</v>
      </c>
      <c r="D10" s="3">
        <v>22</v>
      </c>
      <c r="E10" s="3">
        <v>26</v>
      </c>
      <c r="F10" s="3">
        <v>4</v>
      </c>
      <c r="G10" s="9">
        <v>1263.1400000000001</v>
      </c>
      <c r="H10" s="9">
        <v>527.9</v>
      </c>
      <c r="I10" s="9">
        <v>385</v>
      </c>
      <c r="J10" s="12">
        <v>2.0699999999999998</v>
      </c>
      <c r="K10" s="9">
        <v>12.96494</v>
      </c>
      <c r="L10" s="9">
        <v>83.77346</v>
      </c>
      <c r="M10" s="9">
        <f t="shared" si="2"/>
        <v>2178.11</v>
      </c>
      <c r="N10" s="27">
        <f t="shared" si="3"/>
        <v>2178.11</v>
      </c>
      <c r="O10" s="32">
        <v>1</v>
      </c>
      <c r="P10" s="24">
        <f t="shared" si="4"/>
        <v>83.77346</v>
      </c>
      <c r="Q10" s="38">
        <v>22</v>
      </c>
      <c r="R10" s="9">
        <v>9.0909099999999992</v>
      </c>
      <c r="S10" s="24">
        <f t="shared" si="5"/>
        <v>200.00001999999998</v>
      </c>
      <c r="T10" s="36">
        <v>279</v>
      </c>
      <c r="U10" s="40">
        <v>0</v>
      </c>
      <c r="V10" s="9">
        <f t="shared" si="6"/>
        <v>0</v>
      </c>
      <c r="W10" s="27">
        <f t="shared" si="7"/>
        <v>0</v>
      </c>
      <c r="X10" s="40">
        <v>0</v>
      </c>
      <c r="Y10" s="45">
        <f t="shared" si="8"/>
        <v>0</v>
      </c>
      <c r="Z10" s="45">
        <v>0</v>
      </c>
      <c r="AA10" s="40">
        <v>0</v>
      </c>
      <c r="AB10" s="45">
        <f t="shared" si="9"/>
        <v>0</v>
      </c>
      <c r="AC10" s="45">
        <v>0</v>
      </c>
      <c r="AD10" s="48">
        <v>0</v>
      </c>
      <c r="AE10" s="9">
        <v>0</v>
      </c>
      <c r="AF10" s="24">
        <f t="shared" si="10"/>
        <v>0</v>
      </c>
      <c r="AG10" s="28">
        <f t="shared" si="25"/>
        <v>2540.88346</v>
      </c>
      <c r="AH10" s="9">
        <f t="shared" si="11"/>
        <v>233.5179</v>
      </c>
      <c r="AI10" s="9">
        <f t="shared" si="12"/>
        <v>3.8115000000000001</v>
      </c>
      <c r="AJ10" s="9">
        <f t="shared" si="13"/>
        <v>2541</v>
      </c>
      <c r="AK10" s="9">
        <f t="shared" si="14"/>
        <v>237.32939999999999</v>
      </c>
      <c r="AL10" s="9">
        <f t="shared" si="15"/>
        <v>2303.5540599999999</v>
      </c>
      <c r="AM10" s="9">
        <f t="shared" si="16"/>
        <v>2303.5540599999999</v>
      </c>
      <c r="AN10" s="9">
        <v>571.96</v>
      </c>
      <c r="AO10" s="9">
        <v>26586.75</v>
      </c>
      <c r="AP10" s="9">
        <v>88.47</v>
      </c>
      <c r="AQ10" s="9">
        <v>11.01</v>
      </c>
      <c r="AR10" s="9">
        <v>6.62</v>
      </c>
      <c r="AS10" s="9">
        <v>2.4300000000000002</v>
      </c>
      <c r="AT10" s="9">
        <f t="shared" si="17"/>
        <v>483.49</v>
      </c>
      <c r="AU10" s="9">
        <v>0.54</v>
      </c>
      <c r="AV10" s="9">
        <f>AH10+AI10+AT10+W10+AQ10+AR10+AS10</f>
        <v>740.87939999999992</v>
      </c>
      <c r="AW10" s="9">
        <f t="shared" ref="AW10:AW21" si="26">N10+S10+AU10+T10+W10+P10</f>
        <v>2741.4234799999999</v>
      </c>
      <c r="AX10" s="9">
        <f>ROUND(AW10-AV10,0)-1</f>
        <v>2000</v>
      </c>
      <c r="AY10" s="4">
        <f>$AY$2+AY9-0.02</f>
        <v>10.83</v>
      </c>
      <c r="AZ10" s="3">
        <v>0</v>
      </c>
      <c r="BA10" s="3">
        <v>8.67</v>
      </c>
      <c r="BB10" s="4">
        <f t="shared" si="20"/>
        <v>19.53</v>
      </c>
      <c r="BC10" s="3">
        <v>0</v>
      </c>
      <c r="BD10" s="3">
        <v>0</v>
      </c>
      <c r="BE10" s="3">
        <v>0</v>
      </c>
      <c r="BF10" s="3">
        <v>0</v>
      </c>
      <c r="BG10" s="19">
        <f t="shared" si="22"/>
        <v>13.34</v>
      </c>
      <c r="BH10" s="19">
        <v>32</v>
      </c>
      <c r="BI10" s="19">
        <v>10.67</v>
      </c>
      <c r="BJ10" s="19">
        <f t="shared" ref="BJ10:BJ21" si="27">BJ9-U10+$BG$2</f>
        <v>-7.99</v>
      </c>
      <c r="BK10" s="9">
        <v>203.03</v>
      </c>
      <c r="BL10" s="9">
        <v>11257.8</v>
      </c>
      <c r="BM10" s="9">
        <v>2358.67</v>
      </c>
      <c r="BN10" s="9">
        <v>88.47</v>
      </c>
      <c r="BO10" s="4">
        <v>31</v>
      </c>
      <c r="BP10" s="9">
        <f>SUM(BN6:BN10)</f>
        <v>430.94000000000005</v>
      </c>
    </row>
    <row r="11" spans="1:68" x14ac:dyDescent="0.2">
      <c r="A11" s="6">
        <v>43252</v>
      </c>
      <c r="B11" s="2" t="s">
        <v>9</v>
      </c>
      <c r="C11" s="4">
        <v>168</v>
      </c>
      <c r="D11" s="3">
        <v>21</v>
      </c>
      <c r="E11" s="3">
        <v>26</v>
      </c>
      <c r="F11" s="3">
        <v>5</v>
      </c>
      <c r="G11" s="9">
        <v>1263.1400000000001</v>
      </c>
      <c r="H11" s="9">
        <v>527.9</v>
      </c>
      <c r="I11" s="9">
        <v>385</v>
      </c>
      <c r="J11" s="12">
        <v>2.0699999999999998</v>
      </c>
      <c r="K11" s="9">
        <v>12.96494</v>
      </c>
      <c r="L11" s="9">
        <v>83.77346</v>
      </c>
      <c r="M11" s="9">
        <f t="shared" si="2"/>
        <v>2178.11</v>
      </c>
      <c r="N11" s="27">
        <f t="shared" si="3"/>
        <v>2178.11</v>
      </c>
      <c r="O11" s="32">
        <v>1</v>
      </c>
      <c r="P11" s="24">
        <f t="shared" si="4"/>
        <v>83.77346</v>
      </c>
      <c r="Q11" s="38">
        <v>21</v>
      </c>
      <c r="R11" s="9">
        <v>9.5399999999999991</v>
      </c>
      <c r="S11" s="24">
        <f t="shared" si="5"/>
        <v>200.33999999999997</v>
      </c>
      <c r="T11" s="36">
        <v>282</v>
      </c>
      <c r="U11" s="40">
        <v>0</v>
      </c>
      <c r="V11" s="9">
        <f t="shared" si="6"/>
        <v>0</v>
      </c>
      <c r="W11" s="27">
        <f t="shared" si="7"/>
        <v>0</v>
      </c>
      <c r="X11" s="40">
        <v>0</v>
      </c>
      <c r="Y11" s="45">
        <f t="shared" si="8"/>
        <v>0</v>
      </c>
      <c r="Z11" s="45">
        <v>0</v>
      </c>
      <c r="AA11" s="40">
        <v>0</v>
      </c>
      <c r="AB11" s="45">
        <f t="shared" si="9"/>
        <v>0</v>
      </c>
      <c r="AC11" s="45">
        <v>0</v>
      </c>
      <c r="AD11" s="48">
        <v>0</v>
      </c>
      <c r="AE11" s="9">
        <v>0</v>
      </c>
      <c r="AF11" s="24">
        <f t="shared" si="10"/>
        <v>0</v>
      </c>
      <c r="AG11" s="28">
        <f>M11+T11+P11</f>
        <v>2543.88346</v>
      </c>
      <c r="AH11" s="9">
        <f t="shared" si="11"/>
        <v>233.7936</v>
      </c>
      <c r="AI11" s="9">
        <f t="shared" si="12"/>
        <v>3.8160000000000003</v>
      </c>
      <c r="AJ11" s="9">
        <f t="shared" si="13"/>
        <v>2544</v>
      </c>
      <c r="AK11" s="9">
        <f t="shared" si="14"/>
        <v>237.6096</v>
      </c>
      <c r="AL11" s="9">
        <f t="shared" si="15"/>
        <v>2306.2738600000002</v>
      </c>
      <c r="AM11" s="9">
        <f t="shared" si="16"/>
        <v>2306.2738600000002</v>
      </c>
      <c r="AN11" s="9">
        <v>572.69000000000005</v>
      </c>
      <c r="AO11" s="9">
        <v>26586.75</v>
      </c>
      <c r="AP11" s="9">
        <v>85.62</v>
      </c>
      <c r="AQ11" s="9">
        <v>11.01</v>
      </c>
      <c r="AR11" s="9">
        <v>6.62</v>
      </c>
      <c r="AS11" s="9">
        <v>2.4300000000000002</v>
      </c>
      <c r="AT11" s="9">
        <f t="shared" si="17"/>
        <v>487.07000000000005</v>
      </c>
      <c r="AU11" s="9">
        <v>0.52</v>
      </c>
      <c r="AV11" s="9">
        <f>AH11+AI11+AT11+W11+AQ11+AR11+AS11</f>
        <v>744.7396</v>
      </c>
      <c r="AW11" s="9">
        <f t="shared" si="26"/>
        <v>2744.7434600000001</v>
      </c>
      <c r="AX11" s="9">
        <f t="shared" si="19"/>
        <v>2000</v>
      </c>
      <c r="AY11" s="4">
        <f t="shared" si="21"/>
        <v>13</v>
      </c>
      <c r="AZ11" s="3">
        <v>0</v>
      </c>
      <c r="BA11" s="3">
        <v>8.67</v>
      </c>
      <c r="BB11" s="4">
        <f t="shared" si="20"/>
        <v>21.700000000000003</v>
      </c>
      <c r="BC11" s="3">
        <v>0</v>
      </c>
      <c r="BD11" s="3">
        <v>0</v>
      </c>
      <c r="BE11" s="3">
        <v>0</v>
      </c>
      <c r="BF11" s="3">
        <v>0</v>
      </c>
      <c r="BG11" s="19">
        <f t="shared" si="22"/>
        <v>16.009999999999998</v>
      </c>
      <c r="BH11" s="19">
        <v>32</v>
      </c>
      <c r="BI11" s="19">
        <v>10.67</v>
      </c>
      <c r="BJ11" s="19">
        <f t="shared" si="27"/>
        <v>-5.32</v>
      </c>
      <c r="BK11" s="9">
        <v>203.28</v>
      </c>
      <c r="BL11" s="9">
        <v>13564.07</v>
      </c>
      <c r="BM11" s="9">
        <v>2845.74</v>
      </c>
      <c r="BN11" s="9">
        <v>85.62</v>
      </c>
      <c r="BO11" s="4">
        <v>31</v>
      </c>
      <c r="BP11" s="9">
        <f>SUM(BN6:BN11)</f>
        <v>516.56000000000006</v>
      </c>
    </row>
    <row r="12" spans="1:68" x14ac:dyDescent="0.2">
      <c r="A12" s="6">
        <v>43282</v>
      </c>
      <c r="B12" s="2" t="s">
        <v>9</v>
      </c>
      <c r="C12" s="4">
        <v>176</v>
      </c>
      <c r="D12" s="3">
        <v>22</v>
      </c>
      <c r="E12" s="3">
        <v>26</v>
      </c>
      <c r="F12" s="3">
        <v>4</v>
      </c>
      <c r="G12" s="9">
        <v>1263.1400000000001</v>
      </c>
      <c r="H12" s="9">
        <v>527.9</v>
      </c>
      <c r="I12" s="9">
        <v>385</v>
      </c>
      <c r="J12" s="12">
        <v>2.0699999999999998</v>
      </c>
      <c r="K12" s="9">
        <v>12.96494</v>
      </c>
      <c r="L12" s="9">
        <v>83.77346</v>
      </c>
      <c r="M12" s="9">
        <f t="shared" si="2"/>
        <v>2178.11</v>
      </c>
      <c r="N12" s="27">
        <f t="shared" si="3"/>
        <v>2178.11</v>
      </c>
      <c r="O12" s="32">
        <v>0</v>
      </c>
      <c r="P12" s="24">
        <f t="shared" si="4"/>
        <v>0</v>
      </c>
      <c r="Q12" s="38">
        <v>22</v>
      </c>
      <c r="R12" s="9">
        <v>12.545</v>
      </c>
      <c r="S12" s="24">
        <f t="shared" si="5"/>
        <v>275.99</v>
      </c>
      <c r="T12" s="36">
        <v>242</v>
      </c>
      <c r="U12" s="40">
        <v>0</v>
      </c>
      <c r="V12" s="9">
        <f t="shared" si="6"/>
        <v>0</v>
      </c>
      <c r="W12" s="27">
        <f t="shared" si="7"/>
        <v>0</v>
      </c>
      <c r="X12" s="40">
        <v>0</v>
      </c>
      <c r="Y12" s="45">
        <f t="shared" si="8"/>
        <v>0</v>
      </c>
      <c r="Z12" s="45">
        <v>0</v>
      </c>
      <c r="AA12" s="40">
        <v>0</v>
      </c>
      <c r="AB12" s="45">
        <f t="shared" si="9"/>
        <v>0</v>
      </c>
      <c r="AC12" s="45">
        <v>0</v>
      </c>
      <c r="AD12" s="48">
        <v>0</v>
      </c>
      <c r="AE12" s="9">
        <v>0</v>
      </c>
      <c r="AF12" s="24">
        <f t="shared" si="10"/>
        <v>0</v>
      </c>
      <c r="AG12" s="28">
        <v>2178.11</v>
      </c>
      <c r="AH12" s="9">
        <f t="shared" si="11"/>
        <v>200.15819999999999</v>
      </c>
      <c r="AI12" s="9">
        <f t="shared" si="12"/>
        <v>3.2669999999999999</v>
      </c>
      <c r="AJ12" s="9">
        <f t="shared" si="13"/>
        <v>2178</v>
      </c>
      <c r="AK12" s="9">
        <v>206.56</v>
      </c>
      <c r="AL12" s="9">
        <f t="shared" si="15"/>
        <v>1971.5500000000002</v>
      </c>
      <c r="AM12" s="9">
        <f t="shared" si="16"/>
        <v>1971.5500000000002</v>
      </c>
      <c r="AN12" s="9">
        <v>582.32000000000005</v>
      </c>
      <c r="AO12" s="9">
        <v>26586.75</v>
      </c>
      <c r="AP12" s="9">
        <v>88.47</v>
      </c>
      <c r="AQ12" s="9">
        <v>11.01</v>
      </c>
      <c r="AR12" s="9">
        <v>6.62</v>
      </c>
      <c r="AS12" s="9">
        <v>2.4300000000000002</v>
      </c>
      <c r="AT12" s="9">
        <v>393.85</v>
      </c>
      <c r="AU12" s="9">
        <v>0.54</v>
      </c>
      <c r="AV12" s="9">
        <v>620.46</v>
      </c>
      <c r="AW12" s="9">
        <f t="shared" si="26"/>
        <v>2696.6400000000003</v>
      </c>
      <c r="AX12" s="9">
        <f t="shared" si="19"/>
        <v>2076</v>
      </c>
      <c r="AY12" s="4">
        <f t="shared" si="21"/>
        <v>15.17</v>
      </c>
      <c r="AZ12" s="3">
        <v>0</v>
      </c>
      <c r="BA12" s="3">
        <v>8.67</v>
      </c>
      <c r="BB12" s="4">
        <f t="shared" si="20"/>
        <v>23.870000000000005</v>
      </c>
      <c r="BC12" s="3">
        <v>0</v>
      </c>
      <c r="BD12" s="3">
        <v>0</v>
      </c>
      <c r="BE12" s="3">
        <v>0</v>
      </c>
      <c r="BF12" s="3">
        <v>0</v>
      </c>
      <c r="BG12" s="19">
        <f t="shared" si="22"/>
        <v>18.68</v>
      </c>
      <c r="BH12" s="19">
        <v>32</v>
      </c>
      <c r="BI12" s="19">
        <v>10.67</v>
      </c>
      <c r="BJ12" s="19">
        <f t="shared" si="27"/>
        <v>-2.6500000000000004</v>
      </c>
      <c r="BK12" s="9">
        <v>181.79</v>
      </c>
      <c r="BL12" s="9">
        <v>17181.189999999999</v>
      </c>
      <c r="BM12" s="9">
        <v>3633.89</v>
      </c>
      <c r="BN12" s="9">
        <v>88.47</v>
      </c>
      <c r="BO12" s="4">
        <v>31</v>
      </c>
      <c r="BP12" s="9">
        <f>SUM(BN6:BN12)</f>
        <v>605.03000000000009</v>
      </c>
    </row>
    <row r="13" spans="1:68" x14ac:dyDescent="0.2">
      <c r="A13" s="6">
        <v>43313</v>
      </c>
      <c r="B13" s="2" t="s">
        <v>9</v>
      </c>
      <c r="C13" s="4">
        <v>160</v>
      </c>
      <c r="D13" s="3">
        <v>20</v>
      </c>
      <c r="E13" s="3">
        <v>26</v>
      </c>
      <c r="F13" s="3">
        <v>4</v>
      </c>
      <c r="G13" s="9">
        <v>1263.1400000000001</v>
      </c>
      <c r="H13" s="9">
        <v>527.9</v>
      </c>
      <c r="I13" s="9">
        <v>385</v>
      </c>
      <c r="J13" s="12">
        <v>2.0699999999999998</v>
      </c>
      <c r="K13" s="9">
        <v>12.96494</v>
      </c>
      <c r="L13" s="9">
        <v>83.77346</v>
      </c>
      <c r="M13" s="9">
        <f t="shared" si="2"/>
        <v>2178.11</v>
      </c>
      <c r="N13" s="27">
        <f t="shared" si="3"/>
        <v>2178.11</v>
      </c>
      <c r="O13" s="32">
        <v>1</v>
      </c>
      <c r="P13" s="24">
        <f t="shared" si="4"/>
        <v>83.77346</v>
      </c>
      <c r="Q13" s="38">
        <v>20</v>
      </c>
      <c r="R13" s="9">
        <v>10</v>
      </c>
      <c r="S13" s="24">
        <f t="shared" si="5"/>
        <v>200</v>
      </c>
      <c r="T13" s="36">
        <v>362</v>
      </c>
      <c r="U13" s="40">
        <v>0</v>
      </c>
      <c r="V13" s="9">
        <f t="shared" si="6"/>
        <v>0</v>
      </c>
      <c r="W13" s="27">
        <f t="shared" si="7"/>
        <v>0</v>
      </c>
      <c r="X13" s="40">
        <v>2</v>
      </c>
      <c r="Y13" s="45">
        <f t="shared" si="8"/>
        <v>83.77346</v>
      </c>
      <c r="Z13" s="27">
        <f t="shared" ref="Z3:Z21" si="28">X13*Y13</f>
        <v>167.54692</v>
      </c>
      <c r="AA13" s="40">
        <v>0</v>
      </c>
      <c r="AB13" s="45">
        <f t="shared" si="9"/>
        <v>0</v>
      </c>
      <c r="AC13" s="27">
        <f t="shared" ref="AC13:AC53" si="29">AA13*AB13</f>
        <v>0</v>
      </c>
      <c r="AD13" s="48">
        <v>0</v>
      </c>
      <c r="AE13" s="9">
        <v>0</v>
      </c>
      <c r="AF13" s="24">
        <f t="shared" si="10"/>
        <v>0</v>
      </c>
      <c r="AG13" s="28">
        <v>2540.11</v>
      </c>
      <c r="AH13" s="9">
        <f t="shared" si="11"/>
        <v>233.42599999999999</v>
      </c>
      <c r="AI13" s="9">
        <f t="shared" si="12"/>
        <v>3.81</v>
      </c>
      <c r="AJ13" s="9">
        <f>ROUND(AG13,0)</f>
        <v>2540</v>
      </c>
      <c r="AK13" s="9">
        <f t="shared" si="14"/>
        <v>237.23599999999999</v>
      </c>
      <c r="AL13" s="9">
        <f t="shared" si="15"/>
        <v>2302.8740000000003</v>
      </c>
      <c r="AM13" s="9">
        <f t="shared" si="16"/>
        <v>2302.8740000000003</v>
      </c>
      <c r="AN13" s="9">
        <v>571.77</v>
      </c>
      <c r="AO13" s="9">
        <v>26586.75</v>
      </c>
      <c r="AP13" s="9">
        <v>88.47</v>
      </c>
      <c r="AQ13" s="9">
        <v>11.01</v>
      </c>
      <c r="AR13" s="9">
        <v>6.62</v>
      </c>
      <c r="AS13" s="9">
        <v>2.4300000000000002</v>
      </c>
      <c r="AT13" s="9">
        <f t="shared" si="17"/>
        <v>483.29999999999995</v>
      </c>
      <c r="AU13" s="9">
        <v>0.54</v>
      </c>
      <c r="AV13" s="9">
        <f>AH13+AI13+AT13+W13+AQ13+AR13+AS13</f>
        <v>740.59599999999989</v>
      </c>
      <c r="AW13" s="9">
        <v>2991.97</v>
      </c>
      <c r="AX13" s="9">
        <f t="shared" si="19"/>
        <v>2251</v>
      </c>
      <c r="AY13" s="4">
        <f>$AY$2+AY12-0.01</f>
        <v>17.329999999999998</v>
      </c>
      <c r="AZ13" s="3">
        <v>2</v>
      </c>
      <c r="BA13" s="3">
        <v>8.67</v>
      </c>
      <c r="BB13" s="4">
        <f t="shared" si="20"/>
        <v>24.040000000000006</v>
      </c>
      <c r="BC13" s="3">
        <v>0</v>
      </c>
      <c r="BD13" s="3">
        <v>0</v>
      </c>
      <c r="BE13" s="3">
        <v>0</v>
      </c>
      <c r="BF13" s="3">
        <v>0</v>
      </c>
      <c r="BG13" s="19">
        <f>$BG$2+BG12-0.02</f>
        <v>21.330000000000002</v>
      </c>
      <c r="BH13" s="19">
        <v>32</v>
      </c>
      <c r="BI13" s="19">
        <v>10.67</v>
      </c>
      <c r="BJ13" s="19">
        <f>BJ12+$BG$2-0.02</f>
        <v>-4.2674197509029455E-16</v>
      </c>
      <c r="BK13" s="9">
        <v>202.97</v>
      </c>
      <c r="BL13" s="9">
        <v>19484.060000000001</v>
      </c>
      <c r="BM13" s="9">
        <v>4117.1899999999996</v>
      </c>
      <c r="BN13" s="9">
        <v>88.47</v>
      </c>
      <c r="BO13" s="4">
        <v>31</v>
      </c>
      <c r="BP13" s="9">
        <f>SUM(BN6:BN13)</f>
        <v>693.50000000000011</v>
      </c>
    </row>
    <row r="14" spans="1:68" x14ac:dyDescent="0.2">
      <c r="A14" s="6">
        <v>43344</v>
      </c>
      <c r="B14" s="2" t="s">
        <v>9</v>
      </c>
      <c r="C14" s="4">
        <v>120</v>
      </c>
      <c r="D14" s="3">
        <v>15</v>
      </c>
      <c r="E14" s="3">
        <v>26</v>
      </c>
      <c r="F14" s="3">
        <v>5</v>
      </c>
      <c r="G14" s="9">
        <v>1263.1400000000001</v>
      </c>
      <c r="H14" s="9">
        <v>527.9</v>
      </c>
      <c r="I14" s="9">
        <v>385</v>
      </c>
      <c r="J14" s="12">
        <v>2.0699999999999998</v>
      </c>
      <c r="K14" s="9">
        <v>12.96494</v>
      </c>
      <c r="L14" s="9">
        <v>83.77346</v>
      </c>
      <c r="M14" s="9">
        <f t="shared" si="2"/>
        <v>2178.11</v>
      </c>
      <c r="N14" s="27">
        <f t="shared" si="3"/>
        <v>2178.11</v>
      </c>
      <c r="O14" s="32">
        <v>0</v>
      </c>
      <c r="P14" s="24">
        <f t="shared" si="4"/>
        <v>0</v>
      </c>
      <c r="Q14" s="38">
        <v>20</v>
      </c>
      <c r="R14" s="9">
        <v>39</v>
      </c>
      <c r="S14" s="24">
        <f t="shared" si="5"/>
        <v>780</v>
      </c>
      <c r="T14" s="36">
        <v>107</v>
      </c>
      <c r="U14" s="40">
        <v>20</v>
      </c>
      <c r="V14" s="9">
        <f t="shared" si="6"/>
        <v>12.96494</v>
      </c>
      <c r="W14" s="27">
        <f t="shared" si="7"/>
        <v>259.29880000000003</v>
      </c>
      <c r="X14" s="40">
        <v>5</v>
      </c>
      <c r="Y14" s="45">
        <f t="shared" si="8"/>
        <v>83.77346</v>
      </c>
      <c r="Z14" s="27">
        <f t="shared" si="28"/>
        <v>418.8673</v>
      </c>
      <c r="AA14" s="40">
        <v>0</v>
      </c>
      <c r="AB14" s="45">
        <f t="shared" si="9"/>
        <v>0</v>
      </c>
      <c r="AC14" s="27">
        <f t="shared" si="29"/>
        <v>0</v>
      </c>
      <c r="AD14" s="48">
        <v>0</v>
      </c>
      <c r="AE14" s="9">
        <v>0</v>
      </c>
      <c r="AF14" s="24">
        <f t="shared" si="10"/>
        <v>0</v>
      </c>
      <c r="AG14" s="28">
        <f>M14+T14+P14+W14</f>
        <v>2544.4088000000002</v>
      </c>
      <c r="AH14" s="9">
        <f t="shared" si="11"/>
        <v>233.7936</v>
      </c>
      <c r="AI14" s="9">
        <f t="shared" si="12"/>
        <v>3.8160000000000003</v>
      </c>
      <c r="AJ14" s="9">
        <f t="shared" si="13"/>
        <v>2544</v>
      </c>
      <c r="AK14" s="9">
        <f t="shared" si="14"/>
        <v>237.6096</v>
      </c>
      <c r="AL14" s="9">
        <f t="shared" si="15"/>
        <v>2306.7992000000004</v>
      </c>
      <c r="AM14" s="9">
        <f t="shared" si="16"/>
        <v>2306.7992000000004</v>
      </c>
      <c r="AN14" s="9">
        <v>572.84</v>
      </c>
      <c r="AO14" s="9">
        <v>26586.75</v>
      </c>
      <c r="AP14" s="9">
        <v>85.62</v>
      </c>
      <c r="AQ14" s="9">
        <v>11.01</v>
      </c>
      <c r="AR14" s="9">
        <v>6.62</v>
      </c>
      <c r="AS14" s="9">
        <v>2.4300000000000002</v>
      </c>
      <c r="AT14" s="9">
        <f t="shared" si="17"/>
        <v>487.22</v>
      </c>
      <c r="AU14" s="9">
        <v>0.52</v>
      </c>
      <c r="AV14" s="9">
        <v>1163.76</v>
      </c>
      <c r="AW14" s="9">
        <v>3743.8</v>
      </c>
      <c r="AX14" s="9">
        <f t="shared" si="19"/>
        <v>2580</v>
      </c>
      <c r="AY14" s="4">
        <f t="shared" si="21"/>
        <v>19.5</v>
      </c>
      <c r="AZ14" s="3">
        <v>7</v>
      </c>
      <c r="BA14" s="3">
        <v>8.67</v>
      </c>
      <c r="BB14" s="4">
        <f>BB13+$AY$2-X14</f>
        <v>21.210000000000008</v>
      </c>
      <c r="BC14" s="3">
        <v>0</v>
      </c>
      <c r="BD14" s="3">
        <v>0</v>
      </c>
      <c r="BE14" s="3">
        <v>0</v>
      </c>
      <c r="BF14" s="3">
        <v>0</v>
      </c>
      <c r="BG14" s="19">
        <f t="shared" si="22"/>
        <v>24</v>
      </c>
      <c r="BH14" s="19">
        <v>52</v>
      </c>
      <c r="BI14" s="19">
        <v>10.67</v>
      </c>
      <c r="BJ14" s="19">
        <f t="shared" si="27"/>
        <v>-17.329999999999998</v>
      </c>
      <c r="BK14" s="9">
        <v>246.25</v>
      </c>
      <c r="BL14" s="9">
        <v>21790.86</v>
      </c>
      <c r="BM14" s="9">
        <v>4604.41</v>
      </c>
      <c r="BN14" s="9">
        <v>85.62</v>
      </c>
      <c r="BO14" s="4">
        <v>30</v>
      </c>
      <c r="BP14" s="9">
        <f>SUM(BN6:BN14)</f>
        <v>779.12000000000012</v>
      </c>
    </row>
    <row r="15" spans="1:68" x14ac:dyDescent="0.2">
      <c r="A15" s="6">
        <v>43374</v>
      </c>
      <c r="B15" s="2" t="s">
        <v>9</v>
      </c>
      <c r="C15" s="4">
        <v>184</v>
      </c>
      <c r="D15" s="3">
        <v>23</v>
      </c>
      <c r="E15" s="3">
        <v>26</v>
      </c>
      <c r="F15" s="3">
        <v>4</v>
      </c>
      <c r="G15" s="9">
        <v>1263.1400000000001</v>
      </c>
      <c r="H15" s="9">
        <v>527.9</v>
      </c>
      <c r="I15" s="9">
        <v>385</v>
      </c>
      <c r="J15" s="12">
        <v>2.0699999999999998</v>
      </c>
      <c r="K15" s="9">
        <v>12.96494</v>
      </c>
      <c r="L15" s="9">
        <v>83.77346</v>
      </c>
      <c r="M15" s="9">
        <f t="shared" si="2"/>
        <v>2178.11</v>
      </c>
      <c r="N15" s="27">
        <f t="shared" si="3"/>
        <v>2178.11</v>
      </c>
      <c r="O15" s="32">
        <v>0</v>
      </c>
      <c r="P15" s="24">
        <f t="shared" si="4"/>
        <v>0</v>
      </c>
      <c r="Q15" s="38">
        <v>23</v>
      </c>
      <c r="R15" s="9">
        <v>19.13</v>
      </c>
      <c r="S15" s="24">
        <f t="shared" si="5"/>
        <v>439.98999999999995</v>
      </c>
      <c r="T15" s="36">
        <v>0</v>
      </c>
      <c r="U15" s="40">
        <v>0</v>
      </c>
      <c r="V15" s="9">
        <f t="shared" si="6"/>
        <v>0</v>
      </c>
      <c r="W15" s="27">
        <f t="shared" si="7"/>
        <v>0</v>
      </c>
      <c r="X15" s="40">
        <v>0</v>
      </c>
      <c r="Y15" s="45">
        <f t="shared" si="8"/>
        <v>0</v>
      </c>
      <c r="Z15" s="27">
        <f t="shared" si="28"/>
        <v>0</v>
      </c>
      <c r="AA15" s="40">
        <v>0</v>
      </c>
      <c r="AB15" s="45">
        <f t="shared" si="9"/>
        <v>0</v>
      </c>
      <c r="AC15" s="27">
        <f t="shared" si="29"/>
        <v>0</v>
      </c>
      <c r="AD15" s="48">
        <v>0</v>
      </c>
      <c r="AE15" s="9">
        <v>0</v>
      </c>
      <c r="AF15" s="24">
        <f t="shared" si="10"/>
        <v>0</v>
      </c>
      <c r="AG15" s="28">
        <f t="shared" ref="AG15:AG21" si="30">M15+T15+P15+W15</f>
        <v>2178.11</v>
      </c>
      <c r="AH15" s="9">
        <f t="shared" si="11"/>
        <v>200.15819999999999</v>
      </c>
      <c r="AI15" s="9">
        <f t="shared" si="12"/>
        <v>3.2669999999999999</v>
      </c>
      <c r="AJ15" s="9">
        <f t="shared" si="13"/>
        <v>2178</v>
      </c>
      <c r="AK15" s="9">
        <f t="shared" si="14"/>
        <v>203.42519999999999</v>
      </c>
      <c r="AL15" s="9">
        <f t="shared" si="15"/>
        <v>1974.6848000000002</v>
      </c>
      <c r="AM15" s="9">
        <f t="shared" si="16"/>
        <v>1974.6848000000002</v>
      </c>
      <c r="AN15" s="9">
        <v>483.16</v>
      </c>
      <c r="AO15" s="9">
        <v>26586.75</v>
      </c>
      <c r="AP15" s="9">
        <v>88.47</v>
      </c>
      <c r="AQ15" s="9">
        <v>11.01</v>
      </c>
      <c r="AR15" s="9">
        <v>6.62</v>
      </c>
      <c r="AS15" s="9">
        <v>2.4300000000000002</v>
      </c>
      <c r="AT15" s="9">
        <f t="shared" si="17"/>
        <v>394.69000000000005</v>
      </c>
      <c r="AU15" s="9">
        <v>0.54</v>
      </c>
      <c r="AV15" s="9">
        <f>AH15+AI15+AT15+W15+AQ15+AR15+AS15</f>
        <v>618.17520000000002</v>
      </c>
      <c r="AW15" s="9">
        <f t="shared" si="26"/>
        <v>2618.64</v>
      </c>
      <c r="AX15" s="9">
        <f t="shared" si="19"/>
        <v>2000</v>
      </c>
      <c r="AY15" s="4">
        <f t="shared" si="21"/>
        <v>21.67</v>
      </c>
      <c r="AZ15" s="3">
        <v>7</v>
      </c>
      <c r="BA15" s="3">
        <v>8.67</v>
      </c>
      <c r="BB15" s="4">
        <f>BB14+$AY$2-X15-0.04</f>
        <v>23.340000000000011</v>
      </c>
      <c r="BC15" s="3">
        <v>0</v>
      </c>
      <c r="BD15" s="3">
        <v>0</v>
      </c>
      <c r="BE15" s="3">
        <v>0</v>
      </c>
      <c r="BF15" s="3">
        <v>0</v>
      </c>
      <c r="BG15" s="19">
        <f t="shared" si="22"/>
        <v>26.67</v>
      </c>
      <c r="BH15" s="19">
        <v>52</v>
      </c>
      <c r="BI15" s="19">
        <v>10.67</v>
      </c>
      <c r="BJ15" s="19">
        <f t="shared" si="27"/>
        <v>-14.659999999999998</v>
      </c>
      <c r="BK15" s="9">
        <v>193.93</v>
      </c>
      <c r="BL15" s="9">
        <v>23765.54</v>
      </c>
      <c r="BM15" s="9">
        <v>4999.1000000000004</v>
      </c>
      <c r="BN15" s="9">
        <v>88.47</v>
      </c>
      <c r="BO15" s="4">
        <v>31</v>
      </c>
      <c r="BP15" s="9">
        <f>SUM(BN6:BN15)</f>
        <v>867.59000000000015</v>
      </c>
    </row>
    <row r="16" spans="1:68" x14ac:dyDescent="0.2">
      <c r="A16" s="6">
        <v>43405</v>
      </c>
      <c r="B16" s="2" t="s">
        <v>9</v>
      </c>
      <c r="C16" s="4">
        <v>168</v>
      </c>
      <c r="D16" s="3">
        <v>21</v>
      </c>
      <c r="E16" s="3">
        <v>26</v>
      </c>
      <c r="F16" s="3">
        <v>4</v>
      </c>
      <c r="G16" s="9">
        <v>1263.1400000000001</v>
      </c>
      <c r="H16" s="9">
        <v>527.9</v>
      </c>
      <c r="I16" s="9">
        <v>385</v>
      </c>
      <c r="J16" s="12">
        <v>2.0699999999999998</v>
      </c>
      <c r="K16" s="9">
        <v>12.96494</v>
      </c>
      <c r="L16" s="9">
        <v>83.77346</v>
      </c>
      <c r="M16" s="9">
        <f t="shared" si="2"/>
        <v>2178.11</v>
      </c>
      <c r="N16" s="27">
        <f t="shared" si="3"/>
        <v>2178.11</v>
      </c>
      <c r="O16" s="32">
        <v>1</v>
      </c>
      <c r="P16" s="24">
        <f t="shared" si="4"/>
        <v>83.77346</v>
      </c>
      <c r="Q16" s="38">
        <v>21</v>
      </c>
      <c r="R16" s="9">
        <v>9.5237999999999996</v>
      </c>
      <c r="S16" s="24">
        <f t="shared" si="5"/>
        <v>199.99979999999999</v>
      </c>
      <c r="T16" s="36">
        <v>366</v>
      </c>
      <c r="U16" s="40">
        <v>0</v>
      </c>
      <c r="V16" s="9">
        <f t="shared" si="6"/>
        <v>0</v>
      </c>
      <c r="W16" s="27">
        <f t="shared" si="7"/>
        <v>0</v>
      </c>
      <c r="X16" s="40">
        <v>1</v>
      </c>
      <c r="Y16" s="45">
        <f t="shared" si="8"/>
        <v>83.77346</v>
      </c>
      <c r="Z16" s="27">
        <f t="shared" si="28"/>
        <v>83.77346</v>
      </c>
      <c r="AA16" s="40">
        <v>0</v>
      </c>
      <c r="AB16" s="45">
        <f t="shared" si="9"/>
        <v>0</v>
      </c>
      <c r="AC16" s="27">
        <f t="shared" si="29"/>
        <v>0</v>
      </c>
      <c r="AD16" s="48">
        <v>0</v>
      </c>
      <c r="AE16" s="9">
        <v>0</v>
      </c>
      <c r="AF16" s="24">
        <f t="shared" si="10"/>
        <v>0</v>
      </c>
      <c r="AG16" s="28">
        <v>2544.11</v>
      </c>
      <c r="AH16" s="9">
        <f t="shared" si="11"/>
        <v>233.7936</v>
      </c>
      <c r="AI16" s="9">
        <f t="shared" si="12"/>
        <v>3.8160000000000003</v>
      </c>
      <c r="AJ16" s="9">
        <f t="shared" si="13"/>
        <v>2544</v>
      </c>
      <c r="AK16" s="9">
        <f t="shared" si="14"/>
        <v>237.6096</v>
      </c>
      <c r="AL16" s="9">
        <f t="shared" si="15"/>
        <v>2306.5003999999999</v>
      </c>
      <c r="AM16" s="9">
        <f t="shared" si="16"/>
        <v>2306.5003999999999</v>
      </c>
      <c r="AN16" s="9">
        <v>572.6</v>
      </c>
      <c r="AO16" s="9">
        <v>26586.75</v>
      </c>
      <c r="AP16" s="9">
        <v>85.62</v>
      </c>
      <c r="AQ16" s="9">
        <v>11.01</v>
      </c>
      <c r="AR16" s="9">
        <v>6.62</v>
      </c>
      <c r="AS16" s="9">
        <v>2.4300000000000002</v>
      </c>
      <c r="AT16" s="9">
        <v>487.14</v>
      </c>
      <c r="AU16" s="9">
        <v>0.52</v>
      </c>
      <c r="AV16" s="9">
        <v>828.59</v>
      </c>
      <c r="AW16" s="9">
        <f t="shared" si="26"/>
        <v>2828.40326</v>
      </c>
      <c r="AX16" s="9">
        <f t="shared" si="19"/>
        <v>2000</v>
      </c>
      <c r="AY16" s="4">
        <f t="shared" si="21"/>
        <v>23.840000000000003</v>
      </c>
      <c r="AZ16" s="3">
        <v>7</v>
      </c>
      <c r="BA16" s="3">
        <v>8.67</v>
      </c>
      <c r="BB16" s="4">
        <v>25.5</v>
      </c>
      <c r="BC16" s="3">
        <v>0</v>
      </c>
      <c r="BD16" s="3">
        <v>0</v>
      </c>
      <c r="BE16" s="3">
        <v>0</v>
      </c>
      <c r="BF16" s="3">
        <v>0</v>
      </c>
      <c r="BG16" s="19">
        <f t="shared" si="22"/>
        <v>29.340000000000003</v>
      </c>
      <c r="BH16" s="19">
        <v>52</v>
      </c>
      <c r="BI16" s="19">
        <v>10.67</v>
      </c>
      <c r="BJ16" s="19">
        <f t="shared" si="27"/>
        <v>-11.989999999999998</v>
      </c>
      <c r="BK16" s="9">
        <v>203.27</v>
      </c>
      <c r="BL16" s="9">
        <v>26072.04</v>
      </c>
      <c r="BM16" s="9">
        <v>5486.24</v>
      </c>
      <c r="BN16" s="9">
        <v>85.62</v>
      </c>
      <c r="BO16" s="4">
        <v>30</v>
      </c>
      <c r="BP16" s="9">
        <f>SUM(BN6:BN16)</f>
        <v>953.21000000000015</v>
      </c>
    </row>
    <row r="17" spans="1:68" x14ac:dyDescent="0.2">
      <c r="A17" s="6">
        <v>43435</v>
      </c>
      <c r="B17" s="2" t="s">
        <v>9</v>
      </c>
      <c r="C17" s="4">
        <v>152</v>
      </c>
      <c r="D17" s="3">
        <v>19</v>
      </c>
      <c r="E17" s="3">
        <v>26</v>
      </c>
      <c r="F17" s="3">
        <v>5</v>
      </c>
      <c r="G17" s="9">
        <v>1263.1400000000001</v>
      </c>
      <c r="H17" s="9">
        <v>527.9</v>
      </c>
      <c r="I17" s="9">
        <v>385</v>
      </c>
      <c r="J17" s="12">
        <v>2.0699999999999998</v>
      </c>
      <c r="K17" s="9">
        <v>12.96494</v>
      </c>
      <c r="L17" s="9">
        <v>83.77346</v>
      </c>
      <c r="M17" s="9">
        <f t="shared" si="2"/>
        <v>2178.11</v>
      </c>
      <c r="N17" s="27">
        <f t="shared" si="3"/>
        <v>2178.11</v>
      </c>
      <c r="O17" s="32">
        <v>2</v>
      </c>
      <c r="P17" s="24">
        <f t="shared" si="4"/>
        <v>167.54692</v>
      </c>
      <c r="Q17" s="38">
        <v>19</v>
      </c>
      <c r="R17" s="9">
        <v>10.52631</v>
      </c>
      <c r="S17" s="24">
        <f t="shared" si="5"/>
        <v>199.99989000000002</v>
      </c>
      <c r="T17" s="36">
        <v>0</v>
      </c>
      <c r="U17" s="40">
        <v>0</v>
      </c>
      <c r="V17" s="9">
        <f t="shared" si="6"/>
        <v>0</v>
      </c>
      <c r="W17" s="27">
        <f t="shared" si="7"/>
        <v>0</v>
      </c>
      <c r="X17" s="40">
        <v>2</v>
      </c>
      <c r="Y17" s="45">
        <f t="shared" si="8"/>
        <v>83.77346</v>
      </c>
      <c r="Z17" s="27">
        <f t="shared" si="28"/>
        <v>167.54692</v>
      </c>
      <c r="AA17" s="40">
        <v>0</v>
      </c>
      <c r="AB17" s="45">
        <f t="shared" si="9"/>
        <v>0</v>
      </c>
      <c r="AC17" s="27">
        <f t="shared" si="29"/>
        <v>0</v>
      </c>
      <c r="AD17" s="48">
        <v>0</v>
      </c>
      <c r="AE17" s="9">
        <v>0</v>
      </c>
      <c r="AF17" s="24">
        <f t="shared" si="10"/>
        <v>0</v>
      </c>
      <c r="AG17" s="28">
        <v>2178.11</v>
      </c>
      <c r="AH17" s="9">
        <f t="shared" si="11"/>
        <v>200.15819999999999</v>
      </c>
      <c r="AI17" s="9">
        <f t="shared" si="12"/>
        <v>3.2669999999999999</v>
      </c>
      <c r="AJ17" s="9">
        <f t="shared" si="13"/>
        <v>2178</v>
      </c>
      <c r="AK17" s="9">
        <v>200.3</v>
      </c>
      <c r="AL17" s="9">
        <f>AG17-AK17</f>
        <v>1977.8100000000002</v>
      </c>
      <c r="AM17" s="9">
        <f t="shared" si="16"/>
        <v>1977.8100000000002</v>
      </c>
      <c r="AN17" s="9">
        <v>0</v>
      </c>
      <c r="AO17" s="9">
        <v>0</v>
      </c>
      <c r="AP17" s="9">
        <v>0</v>
      </c>
      <c r="AQ17" s="9">
        <v>420.02</v>
      </c>
      <c r="AR17" s="9">
        <v>240.2</v>
      </c>
      <c r="AS17" s="9">
        <v>218.35</v>
      </c>
      <c r="AT17" s="9">
        <f t="shared" si="17"/>
        <v>0</v>
      </c>
      <c r="AU17" s="9">
        <v>0</v>
      </c>
      <c r="AV17" s="9">
        <v>1228.93</v>
      </c>
      <c r="AW17" s="9">
        <f t="shared" si="26"/>
        <v>2545.6568100000004</v>
      </c>
      <c r="AX17" s="9">
        <f t="shared" si="19"/>
        <v>1317</v>
      </c>
      <c r="AY17" s="4">
        <f t="shared" si="21"/>
        <v>26.010000000000005</v>
      </c>
      <c r="AZ17" s="3">
        <v>7</v>
      </c>
      <c r="BA17" s="3">
        <v>8.67</v>
      </c>
      <c r="BB17" s="4">
        <v>27.67</v>
      </c>
      <c r="BC17" s="3">
        <v>0</v>
      </c>
      <c r="BD17" s="3">
        <v>0</v>
      </c>
      <c r="BE17" s="3">
        <v>0</v>
      </c>
      <c r="BF17" s="3">
        <v>0</v>
      </c>
      <c r="BG17" s="19">
        <f t="shared" si="22"/>
        <v>32.010000000000005</v>
      </c>
      <c r="BH17" s="19">
        <v>52</v>
      </c>
      <c r="BI17" s="19">
        <v>10.67</v>
      </c>
      <c r="BJ17" s="19">
        <f t="shared" si="27"/>
        <v>-9.3199999999999985</v>
      </c>
      <c r="BK17" s="9">
        <v>176.16</v>
      </c>
      <c r="BL17" s="9">
        <v>30024.53</v>
      </c>
      <c r="BM17" s="9">
        <v>6824.67</v>
      </c>
      <c r="BN17" s="9">
        <v>904.65</v>
      </c>
      <c r="BO17" s="4">
        <v>31</v>
      </c>
      <c r="BP17" s="9">
        <v>904.65</v>
      </c>
    </row>
    <row r="18" spans="1:68" x14ac:dyDescent="0.2">
      <c r="A18" s="6">
        <v>43466</v>
      </c>
      <c r="B18" s="2" t="s">
        <v>9</v>
      </c>
      <c r="C18" s="4">
        <v>128</v>
      </c>
      <c r="D18" s="3">
        <v>16</v>
      </c>
      <c r="E18" s="3">
        <v>26</v>
      </c>
      <c r="F18" s="3">
        <v>4</v>
      </c>
      <c r="G18" s="9">
        <v>1263.1400000000001</v>
      </c>
      <c r="H18" s="9">
        <v>527.9</v>
      </c>
      <c r="I18" s="9">
        <v>385</v>
      </c>
      <c r="J18" s="12">
        <v>2.0699999999999998</v>
      </c>
      <c r="K18" s="9">
        <v>12.96494</v>
      </c>
      <c r="L18" s="9">
        <v>83.77346</v>
      </c>
      <c r="M18" s="9">
        <f t="shared" si="2"/>
        <v>2178.11</v>
      </c>
      <c r="N18" s="27">
        <f>M18</f>
        <v>2178.11</v>
      </c>
      <c r="O18" s="32">
        <v>2</v>
      </c>
      <c r="P18" s="24">
        <f t="shared" si="4"/>
        <v>167.54692</v>
      </c>
      <c r="Q18" s="38">
        <v>19</v>
      </c>
      <c r="R18" s="9">
        <v>10.52631</v>
      </c>
      <c r="S18" s="24">
        <f t="shared" si="5"/>
        <v>199.99989000000002</v>
      </c>
      <c r="T18" s="36">
        <v>360</v>
      </c>
      <c r="U18" s="40">
        <v>0</v>
      </c>
      <c r="V18" s="9">
        <f t="shared" si="6"/>
        <v>0</v>
      </c>
      <c r="W18" s="27">
        <f t="shared" si="7"/>
        <v>0</v>
      </c>
      <c r="X18" s="40">
        <v>4</v>
      </c>
      <c r="Y18" s="45">
        <f t="shared" si="8"/>
        <v>83.77346</v>
      </c>
      <c r="Z18" s="27">
        <f t="shared" si="28"/>
        <v>335.09384</v>
      </c>
      <c r="AA18" s="40">
        <v>3</v>
      </c>
      <c r="AB18" s="45">
        <f>IF(AA18&gt;0,L18,0)</f>
        <v>83.77346</v>
      </c>
      <c r="AC18" s="27">
        <f t="shared" si="29"/>
        <v>251.32038</v>
      </c>
      <c r="AD18" s="48">
        <v>0</v>
      </c>
      <c r="AE18" s="9">
        <v>0</v>
      </c>
      <c r="AF18" s="24">
        <f t="shared" si="10"/>
        <v>0</v>
      </c>
      <c r="AG18" s="28">
        <v>2621.89</v>
      </c>
      <c r="AH18" s="9">
        <f t="shared" si="11"/>
        <v>240.96179999999998</v>
      </c>
      <c r="AI18" s="9">
        <f t="shared" si="12"/>
        <v>3.9330000000000003</v>
      </c>
      <c r="AJ18" s="9">
        <f t="shared" si="13"/>
        <v>2622</v>
      </c>
      <c r="AK18" s="9">
        <f t="shared" si="14"/>
        <v>244.89479999999998</v>
      </c>
      <c r="AL18" s="9">
        <f t="shared" si="15"/>
        <v>2376.9951999999998</v>
      </c>
      <c r="AM18" s="9">
        <f t="shared" si="16"/>
        <v>2376.9951999999998</v>
      </c>
      <c r="AN18" s="9">
        <v>596.59</v>
      </c>
      <c r="AO18" s="9">
        <v>30024.53</v>
      </c>
      <c r="AP18" s="9">
        <v>76.83</v>
      </c>
      <c r="AQ18" s="9">
        <v>38.18</v>
      </c>
      <c r="AR18" s="9">
        <v>19.850000000000001</v>
      </c>
      <c r="AS18" s="9">
        <v>0</v>
      </c>
      <c r="AT18" s="9">
        <f t="shared" si="17"/>
        <v>519.76</v>
      </c>
      <c r="AU18" s="9">
        <v>0</v>
      </c>
      <c r="AV18" s="9">
        <f>AH18+AI18+AT18+W18+AQ18+AR18+AS18+Z18</f>
        <v>1157.77864</v>
      </c>
      <c r="AW18" s="9">
        <f>N18+S18+AU18+T18+W18+P18+AC18</f>
        <v>3156.9771900000005</v>
      </c>
      <c r="AX18" s="9">
        <f>ROUND(AW18-AV18,0)+1</f>
        <v>2000</v>
      </c>
      <c r="AY18" s="4">
        <v>2.17</v>
      </c>
      <c r="AZ18" s="3">
        <v>0</v>
      </c>
      <c r="BA18" s="3">
        <v>27.67</v>
      </c>
      <c r="BB18" s="4">
        <v>29.84</v>
      </c>
      <c r="BC18" s="3">
        <v>0</v>
      </c>
      <c r="BD18" s="3">
        <v>0</v>
      </c>
      <c r="BE18" s="3">
        <v>0</v>
      </c>
      <c r="BF18" s="3">
        <v>0</v>
      </c>
      <c r="BG18" s="19">
        <v>2.67</v>
      </c>
      <c r="BH18" s="19">
        <v>0</v>
      </c>
      <c r="BI18" s="19">
        <v>-9.33</v>
      </c>
      <c r="BJ18" s="19">
        <f>BJ17-U18+$BG$2-0.01</f>
        <v>-6.6599999999999984</v>
      </c>
      <c r="BK18" s="9">
        <v>190.41</v>
      </c>
      <c r="BL18" s="9">
        <v>2377</v>
      </c>
      <c r="BM18" s="9">
        <v>519.76</v>
      </c>
      <c r="BN18" s="9">
        <v>76.83</v>
      </c>
      <c r="BO18" s="4">
        <v>31</v>
      </c>
      <c r="BP18" s="9">
        <f>BN18</f>
        <v>76.83</v>
      </c>
    </row>
    <row r="19" spans="1:68" x14ac:dyDescent="0.2">
      <c r="A19" s="6">
        <v>43497</v>
      </c>
      <c r="B19" s="2" t="s">
        <v>9</v>
      </c>
      <c r="C19" s="4">
        <v>160</v>
      </c>
      <c r="D19" s="3">
        <v>20</v>
      </c>
      <c r="E19" s="3">
        <v>26</v>
      </c>
      <c r="F19" s="3">
        <v>4</v>
      </c>
      <c r="G19" s="9">
        <v>1263.1400000000001</v>
      </c>
      <c r="H19" s="9">
        <v>527.9</v>
      </c>
      <c r="I19" s="9">
        <v>385</v>
      </c>
      <c r="J19" s="12">
        <v>2.0699999999999998</v>
      </c>
      <c r="K19" s="9">
        <v>12.96494</v>
      </c>
      <c r="L19" s="9">
        <v>83.77346</v>
      </c>
      <c r="M19" s="9">
        <f t="shared" si="2"/>
        <v>2178.11</v>
      </c>
      <c r="N19" s="27">
        <f t="shared" si="3"/>
        <v>2178.11</v>
      </c>
      <c r="O19" s="32">
        <v>0</v>
      </c>
      <c r="P19" s="24">
        <f t="shared" si="4"/>
        <v>0</v>
      </c>
      <c r="Q19" s="38">
        <v>20</v>
      </c>
      <c r="R19" s="9">
        <v>10</v>
      </c>
      <c r="S19" s="24">
        <f t="shared" si="5"/>
        <v>200</v>
      </c>
      <c r="T19" s="36">
        <v>459</v>
      </c>
      <c r="U19" s="40">
        <v>0</v>
      </c>
      <c r="V19" s="9">
        <f t="shared" si="6"/>
        <v>0</v>
      </c>
      <c r="W19" s="27">
        <f t="shared" si="7"/>
        <v>0</v>
      </c>
      <c r="X19" s="40">
        <v>0</v>
      </c>
      <c r="Y19" s="45">
        <f t="shared" si="8"/>
        <v>0</v>
      </c>
      <c r="Z19" s="27">
        <f t="shared" si="28"/>
        <v>0</v>
      </c>
      <c r="AA19" s="40">
        <v>0</v>
      </c>
      <c r="AB19" s="45">
        <f t="shared" si="9"/>
        <v>0</v>
      </c>
      <c r="AC19" s="27">
        <f t="shared" si="29"/>
        <v>0</v>
      </c>
      <c r="AD19" s="48">
        <v>0</v>
      </c>
      <c r="AE19" s="9">
        <v>0</v>
      </c>
      <c r="AF19" s="24">
        <f t="shared" si="10"/>
        <v>0</v>
      </c>
      <c r="AG19" s="28">
        <f t="shared" si="30"/>
        <v>2637.11</v>
      </c>
      <c r="AH19" s="9">
        <f t="shared" si="11"/>
        <v>242.34029999999998</v>
      </c>
      <c r="AI19" s="9">
        <f t="shared" si="12"/>
        <v>3.9555000000000002</v>
      </c>
      <c r="AJ19" s="9">
        <f t="shared" si="13"/>
        <v>2637</v>
      </c>
      <c r="AK19" s="9">
        <f t="shared" si="14"/>
        <v>246.29579999999999</v>
      </c>
      <c r="AL19" s="9">
        <f t="shared" si="15"/>
        <v>2390.8142000000003</v>
      </c>
      <c r="AM19" s="9">
        <f t="shared" si="16"/>
        <v>2390.8142000000003</v>
      </c>
      <c r="AN19" s="9">
        <v>601.84</v>
      </c>
      <c r="AO19" s="9">
        <v>30024.53</v>
      </c>
      <c r="AP19" s="9">
        <v>69.400000000000006</v>
      </c>
      <c r="AQ19" s="9">
        <v>38.18</v>
      </c>
      <c r="AR19" s="9">
        <v>18.850000000000001</v>
      </c>
      <c r="AS19" s="9">
        <v>0</v>
      </c>
      <c r="AT19" s="9">
        <f t="shared" si="17"/>
        <v>532.44000000000005</v>
      </c>
      <c r="AU19" s="9">
        <v>0</v>
      </c>
      <c r="AV19" s="9">
        <f>AH19+AI19+AT19+W19+AQ19+AR19+AS19+Z19+1</f>
        <v>836.76580000000001</v>
      </c>
      <c r="AW19" s="9">
        <f t="shared" ref="AW19:AW53" si="31">N19+S19+AU19+T19+W19+P19+AC19</f>
        <v>2837.11</v>
      </c>
      <c r="AX19" s="9">
        <f t="shared" si="19"/>
        <v>2000</v>
      </c>
      <c r="AY19" s="4">
        <f t="shared" si="21"/>
        <v>4.34</v>
      </c>
      <c r="AZ19" s="3">
        <v>0</v>
      </c>
      <c r="BA19" s="3">
        <v>27.67</v>
      </c>
      <c r="BB19" s="4">
        <f t="shared" ref="BB15:BB21" si="32">BB18+$AY$2-X19</f>
        <v>32.01</v>
      </c>
      <c r="BC19" s="3">
        <v>0</v>
      </c>
      <c r="BD19" s="3">
        <v>0</v>
      </c>
      <c r="BE19" s="3">
        <v>0</v>
      </c>
      <c r="BF19" s="3">
        <v>0</v>
      </c>
      <c r="BG19" s="19">
        <f t="shared" si="22"/>
        <v>5.34</v>
      </c>
      <c r="BH19" s="19">
        <v>0</v>
      </c>
      <c r="BI19" s="19">
        <v>-9.33</v>
      </c>
      <c r="BJ19" s="19">
        <f t="shared" si="27"/>
        <v>-3.9899999999999984</v>
      </c>
      <c r="BK19" s="9">
        <v>210.16</v>
      </c>
      <c r="BL19" s="9">
        <v>4767.8100000000004</v>
      </c>
      <c r="BM19" s="9">
        <v>1052.2</v>
      </c>
      <c r="BN19" s="9">
        <v>69.400000000000006</v>
      </c>
      <c r="BO19" s="4">
        <v>28</v>
      </c>
      <c r="BP19" s="9">
        <f>BN18+BN19</f>
        <v>146.23000000000002</v>
      </c>
    </row>
    <row r="20" spans="1:68" x14ac:dyDescent="0.2">
      <c r="A20" s="6">
        <v>43525</v>
      </c>
      <c r="B20" s="2" t="s">
        <v>9</v>
      </c>
      <c r="C20" s="4">
        <v>152</v>
      </c>
      <c r="D20" s="3">
        <v>19</v>
      </c>
      <c r="E20" s="3">
        <v>25</v>
      </c>
      <c r="F20" s="3">
        <v>5</v>
      </c>
      <c r="G20" s="9">
        <v>1263.1400000000001</v>
      </c>
      <c r="H20" s="9">
        <v>527.9</v>
      </c>
      <c r="I20" s="9">
        <v>385</v>
      </c>
      <c r="J20" s="12">
        <v>2.0699999999999998</v>
      </c>
      <c r="K20" s="9">
        <v>12.96494</v>
      </c>
      <c r="L20" s="9">
        <v>83.77346</v>
      </c>
      <c r="M20" s="9">
        <f t="shared" si="2"/>
        <v>2178.11</v>
      </c>
      <c r="N20" s="27">
        <f t="shared" si="3"/>
        <v>2178.11</v>
      </c>
      <c r="O20" s="32">
        <v>0</v>
      </c>
      <c r="P20" s="24">
        <f t="shared" si="4"/>
        <v>0</v>
      </c>
      <c r="Q20" s="38">
        <v>20</v>
      </c>
      <c r="R20" s="9">
        <v>10</v>
      </c>
      <c r="S20" s="24">
        <f t="shared" si="5"/>
        <v>200</v>
      </c>
      <c r="T20" s="36">
        <v>463</v>
      </c>
      <c r="U20" s="40">
        <v>0</v>
      </c>
      <c r="V20" s="9">
        <f t="shared" si="6"/>
        <v>0</v>
      </c>
      <c r="W20" s="27">
        <f t="shared" si="7"/>
        <v>0</v>
      </c>
      <c r="X20" s="40">
        <v>1</v>
      </c>
      <c r="Y20" s="45">
        <f t="shared" si="8"/>
        <v>83.77346</v>
      </c>
      <c r="Z20" s="27">
        <f t="shared" si="28"/>
        <v>83.77346</v>
      </c>
      <c r="AA20" s="40">
        <v>0</v>
      </c>
      <c r="AB20" s="45">
        <f t="shared" si="9"/>
        <v>0</v>
      </c>
      <c r="AC20" s="27">
        <f t="shared" si="29"/>
        <v>0</v>
      </c>
      <c r="AD20" s="48">
        <v>0</v>
      </c>
      <c r="AE20" s="9">
        <v>0</v>
      </c>
      <c r="AF20" s="24">
        <f t="shared" si="10"/>
        <v>0</v>
      </c>
      <c r="AG20" s="28">
        <f t="shared" si="30"/>
        <v>2641.11</v>
      </c>
      <c r="AH20" s="9">
        <f t="shared" si="11"/>
        <v>242.7079</v>
      </c>
      <c r="AI20" s="9">
        <f t="shared" si="12"/>
        <v>3.9615</v>
      </c>
      <c r="AJ20" s="9">
        <f t="shared" si="13"/>
        <v>2641</v>
      </c>
      <c r="AK20" s="9">
        <f t="shared" si="14"/>
        <v>246.6694</v>
      </c>
      <c r="AL20" s="9">
        <f t="shared" si="15"/>
        <v>2394.4405999999999</v>
      </c>
      <c r="AM20" s="9">
        <f t="shared" si="16"/>
        <v>2394.4405999999999</v>
      </c>
      <c r="AN20" s="9">
        <v>603.22</v>
      </c>
      <c r="AO20" s="9">
        <v>30024.53</v>
      </c>
      <c r="AP20" s="9">
        <v>74.349999999999994</v>
      </c>
      <c r="AQ20" s="9">
        <v>38.19</v>
      </c>
      <c r="AR20" s="9">
        <v>19.850000000000001</v>
      </c>
      <c r="AS20" s="9">
        <v>8</v>
      </c>
      <c r="AT20" s="9">
        <f t="shared" si="17"/>
        <v>528.87</v>
      </c>
      <c r="AU20" s="9">
        <v>0</v>
      </c>
      <c r="AV20" s="9">
        <f t="shared" ref="AV19:AV53" si="33">AH20+AI20+AT20+W20+AQ20+AR20+AS20+Z20</f>
        <v>925.35285999999996</v>
      </c>
      <c r="AW20" s="9">
        <f>N20+S20+AU20+T20+W20+P20+AC20+Z20</f>
        <v>2924.88346</v>
      </c>
      <c r="AX20" s="9">
        <f t="shared" si="19"/>
        <v>2000</v>
      </c>
      <c r="AY20" s="4">
        <f t="shared" si="21"/>
        <v>6.51</v>
      </c>
      <c r="AZ20" s="3">
        <v>1</v>
      </c>
      <c r="BA20" s="3">
        <v>27.67</v>
      </c>
      <c r="BB20" s="4">
        <f t="shared" si="32"/>
        <v>33.18</v>
      </c>
      <c r="BC20" s="3">
        <v>0</v>
      </c>
      <c r="BD20" s="3">
        <v>0</v>
      </c>
      <c r="BE20" s="3">
        <v>0</v>
      </c>
      <c r="BF20" s="3">
        <v>0</v>
      </c>
      <c r="BG20" s="19">
        <f t="shared" si="22"/>
        <v>8.01</v>
      </c>
      <c r="BH20" s="19">
        <v>0</v>
      </c>
      <c r="BI20" s="19">
        <v>-9.33</v>
      </c>
      <c r="BJ20" s="19">
        <f t="shared" si="27"/>
        <v>-1.3199999999999985</v>
      </c>
      <c r="BK20" s="9">
        <v>210.45</v>
      </c>
      <c r="BL20" s="9">
        <v>7162.25</v>
      </c>
      <c r="BM20" s="9">
        <v>1581.07</v>
      </c>
      <c r="BN20" s="9">
        <v>74.349999999999994</v>
      </c>
      <c r="BO20" s="4">
        <v>30</v>
      </c>
      <c r="BP20" s="9">
        <f>BN18+BN19+BN20</f>
        <v>220.58</v>
      </c>
    </row>
    <row r="21" spans="1:68" x14ac:dyDescent="0.2">
      <c r="A21" s="6">
        <v>43556</v>
      </c>
      <c r="B21" s="2" t="s">
        <v>9</v>
      </c>
      <c r="C21" s="4">
        <v>160</v>
      </c>
      <c r="D21" s="3">
        <v>20</v>
      </c>
      <c r="E21" s="3">
        <v>26</v>
      </c>
      <c r="F21" s="3">
        <v>4</v>
      </c>
      <c r="G21" s="9">
        <v>1263.1400000000001</v>
      </c>
      <c r="H21" s="9">
        <v>527.9</v>
      </c>
      <c r="I21" s="9">
        <v>385</v>
      </c>
      <c r="J21" s="12">
        <v>2.0699999999999998</v>
      </c>
      <c r="K21" s="9">
        <v>12.96494</v>
      </c>
      <c r="L21" s="9">
        <v>83.77346</v>
      </c>
      <c r="M21" s="9">
        <f t="shared" si="2"/>
        <v>2178.11</v>
      </c>
      <c r="N21" s="27">
        <f t="shared" si="3"/>
        <v>2178.11</v>
      </c>
      <c r="O21" s="32">
        <v>2</v>
      </c>
      <c r="P21" s="24">
        <f t="shared" si="4"/>
        <v>167.54692</v>
      </c>
      <c r="Q21" s="38">
        <v>20</v>
      </c>
      <c r="R21" s="9">
        <v>19</v>
      </c>
      <c r="S21" s="24">
        <f t="shared" si="5"/>
        <v>380</v>
      </c>
      <c r="T21" s="36">
        <v>465</v>
      </c>
      <c r="U21" s="40">
        <v>0</v>
      </c>
      <c r="V21" s="9">
        <f t="shared" si="6"/>
        <v>0</v>
      </c>
      <c r="W21" s="27">
        <f t="shared" si="7"/>
        <v>0</v>
      </c>
      <c r="X21" s="40">
        <v>2</v>
      </c>
      <c r="Y21" s="45">
        <f t="shared" si="8"/>
        <v>83.77346</v>
      </c>
      <c r="Z21" s="27">
        <f t="shared" si="28"/>
        <v>167.54692</v>
      </c>
      <c r="AA21" s="40">
        <v>0</v>
      </c>
      <c r="AB21" s="45">
        <f t="shared" si="9"/>
        <v>0</v>
      </c>
      <c r="AC21" s="27">
        <f t="shared" si="29"/>
        <v>0</v>
      </c>
      <c r="AD21" s="48"/>
      <c r="AE21" s="9"/>
      <c r="AF21" s="24">
        <f t="shared" si="10"/>
        <v>0</v>
      </c>
      <c r="AG21" s="28">
        <v>2643.11</v>
      </c>
      <c r="AH21" s="9">
        <f t="shared" si="11"/>
        <v>242.89169999999999</v>
      </c>
      <c r="AI21" s="9">
        <f t="shared" si="12"/>
        <v>3.9645000000000001</v>
      </c>
      <c r="AJ21" s="9">
        <f t="shared" si="13"/>
        <v>2643</v>
      </c>
      <c r="AK21" s="9">
        <f t="shared" si="14"/>
        <v>246.85619999999997</v>
      </c>
      <c r="AL21" s="9">
        <f t="shared" si="15"/>
        <v>2396.2538</v>
      </c>
      <c r="AM21" s="9">
        <f t="shared" si="16"/>
        <v>2396.2538</v>
      </c>
      <c r="AN21" s="9">
        <v>603.91</v>
      </c>
      <c r="AO21" s="9">
        <v>30024.53</v>
      </c>
      <c r="AP21" s="9">
        <v>74.349999999999994</v>
      </c>
      <c r="AQ21" s="9">
        <v>38.18</v>
      </c>
      <c r="AR21" s="9">
        <v>19.850000000000001</v>
      </c>
      <c r="AS21" s="9">
        <v>8.01</v>
      </c>
      <c r="AT21" s="9">
        <f t="shared" si="17"/>
        <v>529.55999999999995</v>
      </c>
      <c r="AU21" s="9">
        <v>0</v>
      </c>
      <c r="AV21" s="9">
        <f t="shared" si="33"/>
        <v>1010.0031199999999</v>
      </c>
      <c r="AW21" s="9">
        <v>3190.66</v>
      </c>
      <c r="AX21" s="9">
        <f t="shared" si="19"/>
        <v>2181</v>
      </c>
      <c r="AY21" s="4">
        <f t="shared" si="21"/>
        <v>8.68</v>
      </c>
      <c r="AZ21" s="3">
        <v>1</v>
      </c>
      <c r="BA21" s="3">
        <v>27.67</v>
      </c>
      <c r="BB21" s="4">
        <v>35.340000000000003</v>
      </c>
      <c r="BC21" s="3">
        <v>0</v>
      </c>
      <c r="BD21" s="3">
        <v>0</v>
      </c>
      <c r="BE21" s="3">
        <v>0</v>
      </c>
      <c r="BF21" s="3">
        <v>0</v>
      </c>
      <c r="BG21" s="19">
        <f t="shared" si="22"/>
        <v>10.68</v>
      </c>
      <c r="BH21" s="19">
        <v>0</v>
      </c>
      <c r="BI21" s="19">
        <v>-9.33</v>
      </c>
      <c r="BJ21" s="19">
        <f t="shared" si="27"/>
        <v>1.3500000000000014</v>
      </c>
      <c r="BK21" s="9">
        <v>223.93</v>
      </c>
      <c r="BL21" s="9">
        <v>9558.51</v>
      </c>
      <c r="BM21" s="9">
        <v>2110.63</v>
      </c>
      <c r="BN21" s="9">
        <v>74.349999999999994</v>
      </c>
      <c r="BO21" s="4">
        <v>30</v>
      </c>
      <c r="BP21" s="9">
        <f>SUM(BN18:BN21)</f>
        <v>294.93</v>
      </c>
    </row>
    <row r="22" spans="1:68" x14ac:dyDescent="0.2">
      <c r="A22" s="6">
        <v>43586</v>
      </c>
      <c r="B22" s="2" t="s">
        <v>9</v>
      </c>
      <c r="C22" s="4">
        <v>176</v>
      </c>
      <c r="D22" s="3">
        <v>22</v>
      </c>
      <c r="E22" s="3">
        <v>26</v>
      </c>
      <c r="F22" s="3">
        <v>4</v>
      </c>
      <c r="G22" s="9">
        <v>1263.1400000000001</v>
      </c>
      <c r="H22" s="9">
        <v>527.9</v>
      </c>
      <c r="I22" s="9">
        <v>385</v>
      </c>
      <c r="J22" s="12">
        <v>2.0699999999999998</v>
      </c>
      <c r="K22" s="9">
        <v>12.96494</v>
      </c>
      <c r="L22" s="9">
        <v>83.77346</v>
      </c>
      <c r="M22" s="9">
        <f t="shared" ref="M22:M53" si="34">SUM(G22:J22)</f>
        <v>2178.11</v>
      </c>
      <c r="N22" s="27">
        <f t="shared" ref="N22:N53" si="35">M22</f>
        <v>2178.11</v>
      </c>
      <c r="O22" s="32">
        <v>1</v>
      </c>
      <c r="P22" s="24">
        <f t="shared" ref="P22:P53" si="36">O22*L22</f>
        <v>83.77346</v>
      </c>
      <c r="Q22" s="38">
        <v>22</v>
      </c>
      <c r="R22" s="9">
        <v>17.27272</v>
      </c>
      <c r="S22" s="24">
        <f t="shared" ref="S22:S53" si="37">Q22*R22</f>
        <v>379.99984000000001</v>
      </c>
      <c r="T22" s="36">
        <v>178</v>
      </c>
      <c r="U22" s="40">
        <v>0</v>
      </c>
      <c r="V22" s="9">
        <f t="shared" ref="V22:V53" si="38">IF(U22&gt;0,K22,0)</f>
        <v>0</v>
      </c>
      <c r="W22" s="27">
        <f t="shared" ref="W22:W53" si="39">U22*V22</f>
        <v>0</v>
      </c>
      <c r="X22" s="40">
        <v>1</v>
      </c>
      <c r="Y22" s="45">
        <f t="shared" ref="Y22:Y53" si="40">IF(X22&gt;0,L22,0)</f>
        <v>83.77346</v>
      </c>
      <c r="Z22" s="27">
        <f t="shared" ref="Z22:Z53" si="41">X22*Y22</f>
        <v>83.77346</v>
      </c>
      <c r="AA22" s="40">
        <v>0</v>
      </c>
      <c r="AB22" s="45">
        <f t="shared" si="9"/>
        <v>0</v>
      </c>
      <c r="AC22" s="27">
        <f t="shared" si="29"/>
        <v>0</v>
      </c>
      <c r="AD22" s="48"/>
      <c r="AE22" s="9"/>
      <c r="AF22" s="24">
        <f t="shared" ref="AF22:AF53" si="42">AD22*AE22</f>
        <v>0</v>
      </c>
      <c r="AG22" s="28">
        <v>2356.11</v>
      </c>
      <c r="AH22" s="9">
        <f t="shared" ref="AH22:AH53" si="43">ROUND(AG22,0)*9.19%</f>
        <v>216.51639999999998</v>
      </c>
      <c r="AI22" s="9">
        <f t="shared" ref="AI22:AI53" si="44">ROUND(AG22,0)*0.15%</f>
        <v>3.5340000000000003</v>
      </c>
      <c r="AJ22" s="9">
        <f t="shared" ref="AJ22:AJ53" si="45">ROUND(AG22,0)</f>
        <v>2356</v>
      </c>
      <c r="AK22" s="9">
        <f t="shared" ref="AK22:AK53" si="46">AH22+AI22</f>
        <v>220.05039999999997</v>
      </c>
      <c r="AL22" s="9">
        <f t="shared" ref="AL22:AL53" si="47">AG22-AK22</f>
        <v>2136.0596</v>
      </c>
      <c r="AM22" s="9">
        <f t="shared" si="16"/>
        <v>2136.0596</v>
      </c>
      <c r="AN22" s="9">
        <v>526.74</v>
      </c>
      <c r="AO22" s="9">
        <v>30024.53</v>
      </c>
      <c r="AP22" s="9">
        <v>76.83</v>
      </c>
      <c r="AQ22" s="9">
        <v>38.18</v>
      </c>
      <c r="AR22" s="9">
        <v>19.850000000000001</v>
      </c>
      <c r="AS22" s="9">
        <v>8.01</v>
      </c>
      <c r="AT22" s="9">
        <f t="shared" ref="AT22:AT53" si="48">AN22-AP22</f>
        <v>449.91</v>
      </c>
      <c r="AU22" s="9">
        <v>0</v>
      </c>
      <c r="AV22" s="9">
        <f t="shared" si="33"/>
        <v>819.7738599999999</v>
      </c>
      <c r="AW22" s="9">
        <v>2819.88</v>
      </c>
      <c r="AX22" s="9">
        <f t="shared" ref="AX22:AX53" si="49">ROUND(AW22-AV22,0)</f>
        <v>2000</v>
      </c>
      <c r="AY22" s="4">
        <f t="shared" si="21"/>
        <v>10.85</v>
      </c>
      <c r="AZ22" s="3">
        <v>1</v>
      </c>
      <c r="BA22" s="3">
        <v>27.67</v>
      </c>
      <c r="BB22" s="4">
        <v>37.51</v>
      </c>
      <c r="BC22" s="3">
        <v>0</v>
      </c>
      <c r="BD22" s="3">
        <v>0</v>
      </c>
      <c r="BE22" s="3">
        <v>0</v>
      </c>
      <c r="BF22" s="3">
        <v>0</v>
      </c>
      <c r="BG22" s="19">
        <f>$BG$2+BG21-0.02</f>
        <v>13.33</v>
      </c>
      <c r="BH22" s="19">
        <v>0</v>
      </c>
      <c r="BI22" s="19">
        <v>-9.33</v>
      </c>
      <c r="BJ22" s="19">
        <f t="shared" ref="BJ22:BJ53" si="50">BJ21-U22+$BG$2</f>
        <v>4.0200000000000014</v>
      </c>
      <c r="BK22" s="9">
        <v>202.67</v>
      </c>
      <c r="BL22" s="9">
        <v>11694.57</v>
      </c>
      <c r="BM22" s="9">
        <v>2560.54</v>
      </c>
      <c r="BN22" s="9">
        <v>76.83</v>
      </c>
      <c r="BO22" s="4">
        <v>31</v>
      </c>
      <c r="BP22" s="9">
        <f>SUM(BN18:BN22)</f>
        <v>371.76</v>
      </c>
    </row>
    <row r="23" spans="1:68" x14ac:dyDescent="0.2">
      <c r="A23" s="6"/>
      <c r="B23" s="2" t="s">
        <v>9</v>
      </c>
      <c r="C23" s="4"/>
      <c r="D23" s="3"/>
      <c r="E23" s="3"/>
      <c r="F23" s="3"/>
      <c r="G23" s="9">
        <v>1263.1400000000001</v>
      </c>
      <c r="H23" s="9">
        <v>527.9</v>
      </c>
      <c r="I23" s="9">
        <v>385</v>
      </c>
      <c r="J23" s="12">
        <v>2.0699999999999998</v>
      </c>
      <c r="K23" s="9">
        <v>12.96494</v>
      </c>
      <c r="L23" s="9">
        <v>83.77346</v>
      </c>
      <c r="M23" s="9">
        <f t="shared" si="34"/>
        <v>2178.11</v>
      </c>
      <c r="N23" s="27">
        <f t="shared" si="35"/>
        <v>2178.11</v>
      </c>
      <c r="O23" s="32"/>
      <c r="P23" s="24">
        <f t="shared" si="36"/>
        <v>0</v>
      </c>
      <c r="Q23" s="38"/>
      <c r="R23" s="9"/>
      <c r="S23" s="24">
        <f t="shared" si="37"/>
        <v>0</v>
      </c>
      <c r="T23" s="36"/>
      <c r="U23" s="40"/>
      <c r="V23" s="9">
        <f t="shared" si="38"/>
        <v>0</v>
      </c>
      <c r="W23" s="27">
        <f t="shared" si="39"/>
        <v>0</v>
      </c>
      <c r="X23" s="40"/>
      <c r="Y23" s="45">
        <f t="shared" si="40"/>
        <v>0</v>
      </c>
      <c r="Z23" s="27">
        <f t="shared" si="41"/>
        <v>0</v>
      </c>
      <c r="AA23" s="40"/>
      <c r="AB23" s="45">
        <f t="shared" si="9"/>
        <v>0</v>
      </c>
      <c r="AC23" s="27">
        <f t="shared" si="29"/>
        <v>0</v>
      </c>
      <c r="AD23" s="48"/>
      <c r="AE23" s="9"/>
      <c r="AF23" s="24">
        <f t="shared" si="42"/>
        <v>0</v>
      </c>
      <c r="AG23" s="28">
        <f t="shared" ref="AG22:AG53" si="51">M23+T23+P23+W23</f>
        <v>2178.11</v>
      </c>
      <c r="AH23" s="9">
        <f t="shared" si="43"/>
        <v>200.15819999999999</v>
      </c>
      <c r="AI23" s="9">
        <f t="shared" si="44"/>
        <v>3.2669999999999999</v>
      </c>
      <c r="AJ23" s="9">
        <f t="shared" si="45"/>
        <v>2178</v>
      </c>
      <c r="AK23" s="9">
        <f t="shared" si="46"/>
        <v>203.42519999999999</v>
      </c>
      <c r="AL23" s="9">
        <f t="shared" si="47"/>
        <v>1974.6848000000002</v>
      </c>
      <c r="AM23" s="9">
        <f t="shared" ref="AM22:AM53" si="52">AL23</f>
        <v>1974.6848000000002</v>
      </c>
      <c r="AN23" s="9"/>
      <c r="AO23" s="9">
        <v>30024.53</v>
      </c>
      <c r="AP23" s="9"/>
      <c r="AQ23" s="9">
        <v>38.18</v>
      </c>
      <c r="AR23" s="9">
        <v>19.850000000000001</v>
      </c>
      <c r="AS23" s="9"/>
      <c r="AT23" s="9">
        <f t="shared" si="48"/>
        <v>0</v>
      </c>
      <c r="AU23" s="9"/>
      <c r="AV23" s="9">
        <f t="shared" si="33"/>
        <v>261.45519999999999</v>
      </c>
      <c r="AW23" s="9">
        <f t="shared" ref="AW21:AW53" si="53">N23+S23+AU23+T23+W23+P23+AC23+Z23</f>
        <v>2178.11</v>
      </c>
      <c r="AX23" s="9">
        <f t="shared" si="49"/>
        <v>1917</v>
      </c>
      <c r="AY23" s="4">
        <f t="shared" si="21"/>
        <v>13.02</v>
      </c>
      <c r="AZ23" s="3"/>
      <c r="BA23" s="3">
        <v>27.67</v>
      </c>
      <c r="BB23" s="4">
        <f t="shared" ref="BB22:BB53" si="54">BB22+$AY$2-X23</f>
        <v>39.68</v>
      </c>
      <c r="BC23" s="3">
        <v>0</v>
      </c>
      <c r="BD23" s="3">
        <v>0</v>
      </c>
      <c r="BE23" s="3">
        <v>0</v>
      </c>
      <c r="BF23" s="3">
        <v>0</v>
      </c>
      <c r="BG23" s="19">
        <f t="shared" si="22"/>
        <v>16</v>
      </c>
      <c r="BH23" s="19"/>
      <c r="BI23" s="19">
        <v>-9.33</v>
      </c>
      <c r="BJ23" s="19">
        <f t="shared" si="50"/>
        <v>6.6900000000000013</v>
      </c>
      <c r="BK23" s="9"/>
      <c r="BL23" s="9"/>
      <c r="BM23" s="9"/>
      <c r="BN23" s="9"/>
      <c r="BO23" s="4"/>
      <c r="BP23" s="9">
        <f>SUM(BN18:BN23)</f>
        <v>371.76</v>
      </c>
    </row>
    <row r="24" spans="1:68" x14ac:dyDescent="0.2">
      <c r="A24" s="6"/>
      <c r="B24" s="2" t="s">
        <v>9</v>
      </c>
      <c r="C24" s="4"/>
      <c r="D24" s="3"/>
      <c r="E24" s="3"/>
      <c r="F24" s="3"/>
      <c r="G24" s="9">
        <v>1263.1400000000001</v>
      </c>
      <c r="H24" s="9">
        <v>527.9</v>
      </c>
      <c r="I24" s="9">
        <v>385</v>
      </c>
      <c r="J24" s="12">
        <v>2.0699999999999998</v>
      </c>
      <c r="K24" s="9">
        <v>12.96494</v>
      </c>
      <c r="L24" s="9">
        <v>83.77346</v>
      </c>
      <c r="M24" s="9">
        <f t="shared" si="34"/>
        <v>2178.11</v>
      </c>
      <c r="N24" s="27">
        <f t="shared" si="35"/>
        <v>2178.11</v>
      </c>
      <c r="O24" s="32"/>
      <c r="P24" s="24">
        <f t="shared" si="36"/>
        <v>0</v>
      </c>
      <c r="Q24" s="38"/>
      <c r="R24" s="9"/>
      <c r="S24" s="24">
        <f t="shared" si="37"/>
        <v>0</v>
      </c>
      <c r="T24" s="36"/>
      <c r="U24" s="40"/>
      <c r="V24" s="9">
        <f t="shared" si="38"/>
        <v>0</v>
      </c>
      <c r="W24" s="27">
        <f t="shared" si="39"/>
        <v>0</v>
      </c>
      <c r="X24" s="40"/>
      <c r="Y24" s="45">
        <f t="shared" si="40"/>
        <v>0</v>
      </c>
      <c r="Z24" s="27">
        <f t="shared" si="41"/>
        <v>0</v>
      </c>
      <c r="AA24" s="40"/>
      <c r="AB24" s="45">
        <f t="shared" si="9"/>
        <v>0</v>
      </c>
      <c r="AC24" s="27">
        <f t="shared" si="29"/>
        <v>0</v>
      </c>
      <c r="AD24" s="48"/>
      <c r="AE24" s="9"/>
      <c r="AF24" s="24">
        <f t="shared" si="42"/>
        <v>0</v>
      </c>
      <c r="AG24" s="28">
        <f t="shared" si="51"/>
        <v>2178.11</v>
      </c>
      <c r="AH24" s="9">
        <f t="shared" si="43"/>
        <v>200.15819999999999</v>
      </c>
      <c r="AI24" s="9">
        <f t="shared" si="44"/>
        <v>3.2669999999999999</v>
      </c>
      <c r="AJ24" s="9">
        <f t="shared" si="45"/>
        <v>2178</v>
      </c>
      <c r="AK24" s="9">
        <f t="shared" si="46"/>
        <v>203.42519999999999</v>
      </c>
      <c r="AL24" s="9">
        <f t="shared" si="47"/>
        <v>1974.6848000000002</v>
      </c>
      <c r="AM24" s="9">
        <f t="shared" si="52"/>
        <v>1974.6848000000002</v>
      </c>
      <c r="AN24" s="9"/>
      <c r="AO24" s="9">
        <v>30024.53</v>
      </c>
      <c r="AP24" s="9"/>
      <c r="AQ24" s="9">
        <v>38.18</v>
      </c>
      <c r="AR24" s="9">
        <v>19.850000000000001</v>
      </c>
      <c r="AS24" s="9"/>
      <c r="AT24" s="9">
        <f t="shared" si="48"/>
        <v>0</v>
      </c>
      <c r="AU24" s="9"/>
      <c r="AV24" s="9">
        <f t="shared" si="33"/>
        <v>261.45519999999999</v>
      </c>
      <c r="AW24" s="9">
        <f t="shared" si="53"/>
        <v>2178.11</v>
      </c>
      <c r="AX24" s="9">
        <f t="shared" si="49"/>
        <v>1917</v>
      </c>
      <c r="AY24" s="4">
        <f t="shared" si="21"/>
        <v>15.19</v>
      </c>
      <c r="AZ24" s="3"/>
      <c r="BA24" s="3">
        <v>27.67</v>
      </c>
      <c r="BB24" s="4">
        <f t="shared" si="54"/>
        <v>41.85</v>
      </c>
      <c r="BC24" s="3">
        <v>0</v>
      </c>
      <c r="BD24" s="3">
        <v>0</v>
      </c>
      <c r="BE24" s="3">
        <v>0</v>
      </c>
      <c r="BF24" s="3">
        <v>0</v>
      </c>
      <c r="BG24" s="19">
        <f t="shared" si="22"/>
        <v>18.670000000000002</v>
      </c>
      <c r="BH24" s="19"/>
      <c r="BI24" s="19">
        <v>-9.33</v>
      </c>
      <c r="BJ24" s="19">
        <f t="shared" si="50"/>
        <v>9.3600000000000012</v>
      </c>
      <c r="BK24" s="9"/>
      <c r="BL24" s="9"/>
      <c r="BM24" s="9"/>
      <c r="BN24" s="9"/>
      <c r="BO24" s="4"/>
      <c r="BP24" s="9">
        <f>SUM(BN18:BN24)</f>
        <v>371.76</v>
      </c>
    </row>
    <row r="25" spans="1:68" x14ac:dyDescent="0.2">
      <c r="A25" s="6"/>
      <c r="B25" s="2" t="s">
        <v>9</v>
      </c>
      <c r="C25" s="4"/>
      <c r="D25" s="3"/>
      <c r="E25" s="3"/>
      <c r="F25" s="3"/>
      <c r="G25" s="9">
        <v>1263.1400000000001</v>
      </c>
      <c r="H25" s="9">
        <v>527.9</v>
      </c>
      <c r="I25" s="9">
        <v>385</v>
      </c>
      <c r="J25" s="12">
        <v>2.0699999999999998</v>
      </c>
      <c r="K25" s="9">
        <v>12.96494</v>
      </c>
      <c r="L25" s="9">
        <v>83.77346</v>
      </c>
      <c r="M25" s="9">
        <f t="shared" si="34"/>
        <v>2178.11</v>
      </c>
      <c r="N25" s="27">
        <f t="shared" si="35"/>
        <v>2178.11</v>
      </c>
      <c r="O25" s="32"/>
      <c r="P25" s="24">
        <f t="shared" si="36"/>
        <v>0</v>
      </c>
      <c r="Q25" s="38"/>
      <c r="R25" s="9"/>
      <c r="S25" s="24">
        <f t="shared" si="37"/>
        <v>0</v>
      </c>
      <c r="T25" s="36"/>
      <c r="U25" s="40"/>
      <c r="V25" s="9">
        <f t="shared" si="38"/>
        <v>0</v>
      </c>
      <c r="W25" s="27">
        <f t="shared" si="39"/>
        <v>0</v>
      </c>
      <c r="X25" s="40"/>
      <c r="Y25" s="45">
        <f t="shared" si="40"/>
        <v>0</v>
      </c>
      <c r="Z25" s="27">
        <f t="shared" si="41"/>
        <v>0</v>
      </c>
      <c r="AA25" s="40"/>
      <c r="AB25" s="45">
        <f t="shared" si="9"/>
        <v>0</v>
      </c>
      <c r="AC25" s="27">
        <f t="shared" si="29"/>
        <v>0</v>
      </c>
      <c r="AD25" s="48"/>
      <c r="AE25" s="9"/>
      <c r="AF25" s="24">
        <f t="shared" si="42"/>
        <v>0</v>
      </c>
      <c r="AG25" s="28">
        <f t="shared" si="51"/>
        <v>2178.11</v>
      </c>
      <c r="AH25" s="9">
        <f t="shared" si="43"/>
        <v>200.15819999999999</v>
      </c>
      <c r="AI25" s="9">
        <f t="shared" si="44"/>
        <v>3.2669999999999999</v>
      </c>
      <c r="AJ25" s="9">
        <f t="shared" si="45"/>
        <v>2178</v>
      </c>
      <c r="AK25" s="9">
        <f t="shared" si="46"/>
        <v>203.42519999999999</v>
      </c>
      <c r="AL25" s="9">
        <f t="shared" si="47"/>
        <v>1974.6848000000002</v>
      </c>
      <c r="AM25" s="9">
        <f t="shared" si="52"/>
        <v>1974.6848000000002</v>
      </c>
      <c r="AN25" s="9"/>
      <c r="AO25" s="9">
        <v>30024.53</v>
      </c>
      <c r="AP25" s="9"/>
      <c r="AQ25" s="9">
        <v>38.18</v>
      </c>
      <c r="AR25" s="9">
        <v>19.850000000000001</v>
      </c>
      <c r="AS25" s="9"/>
      <c r="AT25" s="9">
        <f t="shared" si="48"/>
        <v>0</v>
      </c>
      <c r="AU25" s="9"/>
      <c r="AV25" s="9">
        <f t="shared" si="33"/>
        <v>261.45519999999999</v>
      </c>
      <c r="AW25" s="9">
        <f t="shared" si="53"/>
        <v>2178.11</v>
      </c>
      <c r="AX25" s="9">
        <f t="shared" si="49"/>
        <v>1917</v>
      </c>
      <c r="AY25" s="4">
        <f t="shared" si="21"/>
        <v>17.36</v>
      </c>
      <c r="AZ25" s="3"/>
      <c r="BA25" s="3">
        <v>27.67</v>
      </c>
      <c r="BB25" s="4">
        <f t="shared" si="54"/>
        <v>44.02</v>
      </c>
      <c r="BC25" s="3">
        <v>0</v>
      </c>
      <c r="BD25" s="3">
        <v>0</v>
      </c>
      <c r="BE25" s="3">
        <v>0</v>
      </c>
      <c r="BF25" s="3">
        <v>0</v>
      </c>
      <c r="BG25" s="19">
        <f t="shared" si="22"/>
        <v>21.340000000000003</v>
      </c>
      <c r="BH25" s="19"/>
      <c r="BI25" s="19">
        <v>-9.33</v>
      </c>
      <c r="BJ25" s="19">
        <f t="shared" si="50"/>
        <v>12.030000000000001</v>
      </c>
      <c r="BK25" s="9"/>
      <c r="BL25" s="9"/>
      <c r="BM25" s="9"/>
      <c r="BN25" s="9"/>
      <c r="BO25" s="4"/>
      <c r="BP25" s="9">
        <f>SUM(BN18:BN25)</f>
        <v>371.76</v>
      </c>
    </row>
    <row r="26" spans="1:68" x14ac:dyDescent="0.2">
      <c r="A26" s="6"/>
      <c r="B26" s="2" t="s">
        <v>9</v>
      </c>
      <c r="C26" s="4"/>
      <c r="D26" s="3"/>
      <c r="E26" s="3"/>
      <c r="F26" s="3"/>
      <c r="G26" s="9">
        <v>1263.1400000000001</v>
      </c>
      <c r="H26" s="9">
        <v>527.9</v>
      </c>
      <c r="I26" s="9">
        <v>385</v>
      </c>
      <c r="J26" s="12">
        <v>2.0699999999999998</v>
      </c>
      <c r="K26" s="9">
        <v>12.96494</v>
      </c>
      <c r="L26" s="9">
        <v>83.77346</v>
      </c>
      <c r="M26" s="9">
        <f t="shared" si="34"/>
        <v>2178.11</v>
      </c>
      <c r="N26" s="27">
        <f t="shared" si="35"/>
        <v>2178.11</v>
      </c>
      <c r="O26" s="32"/>
      <c r="P26" s="24">
        <f t="shared" si="36"/>
        <v>0</v>
      </c>
      <c r="Q26" s="38"/>
      <c r="R26" s="9"/>
      <c r="S26" s="24">
        <f t="shared" si="37"/>
        <v>0</v>
      </c>
      <c r="T26" s="36"/>
      <c r="U26" s="40"/>
      <c r="V26" s="9">
        <f t="shared" si="38"/>
        <v>0</v>
      </c>
      <c r="W26" s="27">
        <f t="shared" si="39"/>
        <v>0</v>
      </c>
      <c r="X26" s="40"/>
      <c r="Y26" s="45">
        <f t="shared" si="40"/>
        <v>0</v>
      </c>
      <c r="Z26" s="27">
        <f t="shared" si="41"/>
        <v>0</v>
      </c>
      <c r="AA26" s="40"/>
      <c r="AB26" s="45">
        <f t="shared" si="9"/>
        <v>0</v>
      </c>
      <c r="AC26" s="27">
        <f t="shared" si="29"/>
        <v>0</v>
      </c>
      <c r="AD26" s="48"/>
      <c r="AE26" s="9"/>
      <c r="AF26" s="24">
        <f t="shared" si="42"/>
        <v>0</v>
      </c>
      <c r="AG26" s="28">
        <f t="shared" si="51"/>
        <v>2178.11</v>
      </c>
      <c r="AH26" s="9">
        <f t="shared" si="43"/>
        <v>200.15819999999999</v>
      </c>
      <c r="AI26" s="9">
        <f t="shared" si="44"/>
        <v>3.2669999999999999</v>
      </c>
      <c r="AJ26" s="9">
        <f t="shared" si="45"/>
        <v>2178</v>
      </c>
      <c r="AK26" s="9">
        <f t="shared" si="46"/>
        <v>203.42519999999999</v>
      </c>
      <c r="AL26" s="9">
        <f t="shared" si="47"/>
        <v>1974.6848000000002</v>
      </c>
      <c r="AM26" s="9">
        <f t="shared" si="52"/>
        <v>1974.6848000000002</v>
      </c>
      <c r="AN26" s="9"/>
      <c r="AO26" s="9">
        <v>30024.53</v>
      </c>
      <c r="AP26" s="9"/>
      <c r="AQ26" s="9">
        <v>38.18</v>
      </c>
      <c r="AR26" s="9">
        <v>19.850000000000001</v>
      </c>
      <c r="AS26" s="9"/>
      <c r="AT26" s="9">
        <f t="shared" si="48"/>
        <v>0</v>
      </c>
      <c r="AU26" s="9"/>
      <c r="AV26" s="9">
        <f t="shared" si="33"/>
        <v>261.45519999999999</v>
      </c>
      <c r="AW26" s="9">
        <f t="shared" si="53"/>
        <v>2178.11</v>
      </c>
      <c r="AX26" s="9">
        <f t="shared" si="49"/>
        <v>1917</v>
      </c>
      <c r="AY26" s="4">
        <f t="shared" si="21"/>
        <v>19.53</v>
      </c>
      <c r="AZ26" s="3"/>
      <c r="BA26" s="3">
        <v>27.67</v>
      </c>
      <c r="BB26" s="4">
        <f t="shared" si="54"/>
        <v>46.190000000000005</v>
      </c>
      <c r="BC26" s="3">
        <v>0</v>
      </c>
      <c r="BD26" s="3">
        <v>0</v>
      </c>
      <c r="BE26" s="3">
        <v>0</v>
      </c>
      <c r="BF26" s="3">
        <v>0</v>
      </c>
      <c r="BG26" s="19">
        <f t="shared" si="22"/>
        <v>24.010000000000005</v>
      </c>
      <c r="BH26" s="19"/>
      <c r="BI26" s="19">
        <v>-9.33</v>
      </c>
      <c r="BJ26" s="19">
        <f t="shared" si="50"/>
        <v>14.700000000000001</v>
      </c>
      <c r="BK26" s="9"/>
      <c r="BL26" s="9"/>
      <c r="BM26" s="9"/>
      <c r="BN26" s="9"/>
      <c r="BO26" s="4"/>
      <c r="BP26" s="9">
        <f>SUM(BN18:BN26)</f>
        <v>371.76</v>
      </c>
    </row>
    <row r="27" spans="1:68" x14ac:dyDescent="0.2">
      <c r="A27" s="6"/>
      <c r="B27" s="2" t="s">
        <v>9</v>
      </c>
      <c r="C27" s="4"/>
      <c r="D27" s="3"/>
      <c r="E27" s="3"/>
      <c r="F27" s="3"/>
      <c r="G27" s="9">
        <v>1263.1400000000001</v>
      </c>
      <c r="H27" s="9">
        <v>527.9</v>
      </c>
      <c r="I27" s="9">
        <v>385</v>
      </c>
      <c r="J27" s="12">
        <v>2.0699999999999998</v>
      </c>
      <c r="K27" s="9">
        <v>12.96494</v>
      </c>
      <c r="L27" s="9">
        <v>83.77346</v>
      </c>
      <c r="M27" s="9">
        <f t="shared" si="34"/>
        <v>2178.11</v>
      </c>
      <c r="N27" s="27">
        <f t="shared" si="35"/>
        <v>2178.11</v>
      </c>
      <c r="O27" s="32"/>
      <c r="P27" s="24">
        <f t="shared" si="36"/>
        <v>0</v>
      </c>
      <c r="Q27" s="38"/>
      <c r="R27" s="9"/>
      <c r="S27" s="24">
        <f t="shared" si="37"/>
        <v>0</v>
      </c>
      <c r="T27" s="36"/>
      <c r="U27" s="40"/>
      <c r="V27" s="9">
        <f t="shared" si="38"/>
        <v>0</v>
      </c>
      <c r="W27" s="27">
        <f t="shared" si="39"/>
        <v>0</v>
      </c>
      <c r="X27" s="40"/>
      <c r="Y27" s="45">
        <f t="shared" si="40"/>
        <v>0</v>
      </c>
      <c r="Z27" s="27">
        <f t="shared" si="41"/>
        <v>0</v>
      </c>
      <c r="AA27" s="40"/>
      <c r="AB27" s="45">
        <f t="shared" si="9"/>
        <v>0</v>
      </c>
      <c r="AC27" s="27">
        <f t="shared" si="29"/>
        <v>0</v>
      </c>
      <c r="AD27" s="48"/>
      <c r="AE27" s="9"/>
      <c r="AF27" s="24">
        <f t="shared" si="42"/>
        <v>0</v>
      </c>
      <c r="AG27" s="28">
        <f t="shared" si="51"/>
        <v>2178.11</v>
      </c>
      <c r="AH27" s="9">
        <f t="shared" si="43"/>
        <v>200.15819999999999</v>
      </c>
      <c r="AI27" s="9">
        <f t="shared" si="44"/>
        <v>3.2669999999999999</v>
      </c>
      <c r="AJ27" s="9">
        <f t="shared" si="45"/>
        <v>2178</v>
      </c>
      <c r="AK27" s="9">
        <f t="shared" si="46"/>
        <v>203.42519999999999</v>
      </c>
      <c r="AL27" s="9">
        <f t="shared" si="47"/>
        <v>1974.6848000000002</v>
      </c>
      <c r="AM27" s="9">
        <f t="shared" si="52"/>
        <v>1974.6848000000002</v>
      </c>
      <c r="AN27" s="9"/>
      <c r="AO27" s="9">
        <v>30024.53</v>
      </c>
      <c r="AP27" s="9"/>
      <c r="AQ27" s="9">
        <v>38.18</v>
      </c>
      <c r="AR27" s="9">
        <v>19.850000000000001</v>
      </c>
      <c r="AS27" s="9"/>
      <c r="AT27" s="9">
        <f t="shared" si="48"/>
        <v>0</v>
      </c>
      <c r="AU27" s="9"/>
      <c r="AV27" s="9">
        <f t="shared" si="33"/>
        <v>261.45519999999999</v>
      </c>
      <c r="AW27" s="9">
        <f t="shared" si="53"/>
        <v>2178.11</v>
      </c>
      <c r="AX27" s="9">
        <f t="shared" si="49"/>
        <v>1917</v>
      </c>
      <c r="AY27" s="4">
        <f t="shared" si="21"/>
        <v>21.700000000000003</v>
      </c>
      <c r="AZ27" s="3"/>
      <c r="BA27" s="3">
        <v>27.67</v>
      </c>
      <c r="BB27" s="4">
        <f t="shared" si="54"/>
        <v>48.360000000000007</v>
      </c>
      <c r="BC27" s="3">
        <v>0</v>
      </c>
      <c r="BD27" s="3">
        <v>0</v>
      </c>
      <c r="BE27" s="3">
        <v>0</v>
      </c>
      <c r="BF27" s="3">
        <v>0</v>
      </c>
      <c r="BG27" s="19">
        <f t="shared" si="22"/>
        <v>26.680000000000007</v>
      </c>
      <c r="BH27" s="19"/>
      <c r="BI27" s="19">
        <v>-9.33</v>
      </c>
      <c r="BJ27" s="19">
        <f t="shared" si="50"/>
        <v>17.37</v>
      </c>
      <c r="BK27" s="9"/>
      <c r="BL27" s="9"/>
      <c r="BM27" s="9"/>
      <c r="BN27" s="9"/>
      <c r="BO27" s="4"/>
      <c r="BP27" s="9">
        <f>SUM(BN18:BN27)</f>
        <v>371.76</v>
      </c>
    </row>
    <row r="28" spans="1:68" x14ac:dyDescent="0.2">
      <c r="A28" s="6"/>
      <c r="B28" s="2" t="s">
        <v>9</v>
      </c>
      <c r="C28" s="4"/>
      <c r="D28" s="3"/>
      <c r="E28" s="3"/>
      <c r="F28" s="3"/>
      <c r="G28" s="9">
        <v>1263.1400000000001</v>
      </c>
      <c r="H28" s="9">
        <v>527.9</v>
      </c>
      <c r="I28" s="9">
        <v>385</v>
      </c>
      <c r="J28" s="12">
        <v>2.0699999999999998</v>
      </c>
      <c r="K28" s="9">
        <v>12.96494</v>
      </c>
      <c r="L28" s="9">
        <v>83.77346</v>
      </c>
      <c r="M28" s="9">
        <f t="shared" si="34"/>
        <v>2178.11</v>
      </c>
      <c r="N28" s="27">
        <f t="shared" si="35"/>
        <v>2178.11</v>
      </c>
      <c r="O28" s="32"/>
      <c r="P28" s="24">
        <f t="shared" si="36"/>
        <v>0</v>
      </c>
      <c r="Q28" s="38"/>
      <c r="R28" s="9"/>
      <c r="S28" s="24">
        <f t="shared" si="37"/>
        <v>0</v>
      </c>
      <c r="T28" s="36"/>
      <c r="U28" s="40"/>
      <c r="V28" s="9">
        <f t="shared" si="38"/>
        <v>0</v>
      </c>
      <c r="W28" s="27">
        <f t="shared" si="39"/>
        <v>0</v>
      </c>
      <c r="X28" s="40"/>
      <c r="Y28" s="45">
        <f t="shared" si="40"/>
        <v>0</v>
      </c>
      <c r="Z28" s="27">
        <f t="shared" si="41"/>
        <v>0</v>
      </c>
      <c r="AA28" s="40"/>
      <c r="AB28" s="45">
        <f t="shared" si="9"/>
        <v>0</v>
      </c>
      <c r="AC28" s="27">
        <f t="shared" si="29"/>
        <v>0</v>
      </c>
      <c r="AD28" s="48"/>
      <c r="AE28" s="9"/>
      <c r="AF28" s="24">
        <f t="shared" si="42"/>
        <v>0</v>
      </c>
      <c r="AG28" s="28">
        <f t="shared" si="51"/>
        <v>2178.11</v>
      </c>
      <c r="AH28" s="9">
        <f t="shared" si="43"/>
        <v>200.15819999999999</v>
      </c>
      <c r="AI28" s="9">
        <f t="shared" si="44"/>
        <v>3.2669999999999999</v>
      </c>
      <c r="AJ28" s="9">
        <f t="shared" si="45"/>
        <v>2178</v>
      </c>
      <c r="AK28" s="9">
        <f t="shared" si="46"/>
        <v>203.42519999999999</v>
      </c>
      <c r="AL28" s="9">
        <f t="shared" si="47"/>
        <v>1974.6848000000002</v>
      </c>
      <c r="AM28" s="9">
        <f t="shared" si="52"/>
        <v>1974.6848000000002</v>
      </c>
      <c r="AN28" s="9"/>
      <c r="AO28" s="9">
        <v>30024.53</v>
      </c>
      <c r="AP28" s="9"/>
      <c r="AQ28" s="9">
        <v>38.18</v>
      </c>
      <c r="AR28" s="9">
        <v>19.850000000000001</v>
      </c>
      <c r="AS28" s="9"/>
      <c r="AT28" s="9">
        <f t="shared" si="48"/>
        <v>0</v>
      </c>
      <c r="AU28" s="9"/>
      <c r="AV28" s="9">
        <f t="shared" si="33"/>
        <v>261.45519999999999</v>
      </c>
      <c r="AW28" s="9">
        <f t="shared" si="53"/>
        <v>2178.11</v>
      </c>
      <c r="AX28" s="9">
        <f t="shared" si="49"/>
        <v>1917</v>
      </c>
      <c r="AY28" s="4">
        <f t="shared" si="21"/>
        <v>23.870000000000005</v>
      </c>
      <c r="AZ28" s="3"/>
      <c r="BA28" s="3">
        <v>27.67</v>
      </c>
      <c r="BB28" s="4">
        <f t="shared" si="54"/>
        <v>50.530000000000008</v>
      </c>
      <c r="BC28" s="3">
        <v>0</v>
      </c>
      <c r="BD28" s="3">
        <v>0</v>
      </c>
      <c r="BE28" s="3">
        <v>0</v>
      </c>
      <c r="BF28" s="3">
        <v>0</v>
      </c>
      <c r="BG28" s="19">
        <f t="shared" si="22"/>
        <v>29.350000000000009</v>
      </c>
      <c r="BH28" s="19"/>
      <c r="BI28" s="19">
        <v>-9.33</v>
      </c>
      <c r="BJ28" s="19">
        <f t="shared" si="50"/>
        <v>20.04</v>
      </c>
      <c r="BK28" s="9"/>
      <c r="BL28" s="9"/>
      <c r="BM28" s="9"/>
      <c r="BN28" s="9"/>
      <c r="BO28" s="4"/>
      <c r="BP28" s="9">
        <f>SUM(BN18:BN28)</f>
        <v>371.76</v>
      </c>
    </row>
    <row r="29" spans="1:68" x14ac:dyDescent="0.2">
      <c r="A29" s="6"/>
      <c r="B29" s="2" t="s">
        <v>9</v>
      </c>
      <c r="C29" s="4"/>
      <c r="D29" s="3"/>
      <c r="E29" s="3"/>
      <c r="F29" s="3"/>
      <c r="G29" s="9">
        <v>1263.1400000000001</v>
      </c>
      <c r="H29" s="9">
        <v>527.9</v>
      </c>
      <c r="I29" s="9">
        <v>385</v>
      </c>
      <c r="J29" s="12">
        <v>2.0699999999999998</v>
      </c>
      <c r="K29" s="9">
        <v>12.96494</v>
      </c>
      <c r="L29" s="9">
        <v>83.77346</v>
      </c>
      <c r="M29" s="9">
        <f t="shared" si="34"/>
        <v>2178.11</v>
      </c>
      <c r="N29" s="27">
        <f t="shared" si="35"/>
        <v>2178.11</v>
      </c>
      <c r="O29" s="32"/>
      <c r="P29" s="24">
        <f t="shared" si="36"/>
        <v>0</v>
      </c>
      <c r="Q29" s="38"/>
      <c r="R29" s="9"/>
      <c r="S29" s="24">
        <f t="shared" si="37"/>
        <v>0</v>
      </c>
      <c r="T29" s="36"/>
      <c r="U29" s="40"/>
      <c r="V29" s="9">
        <f t="shared" si="38"/>
        <v>0</v>
      </c>
      <c r="W29" s="27">
        <f t="shared" si="39"/>
        <v>0</v>
      </c>
      <c r="X29" s="40"/>
      <c r="Y29" s="45">
        <f t="shared" si="40"/>
        <v>0</v>
      </c>
      <c r="Z29" s="27">
        <f t="shared" si="41"/>
        <v>0</v>
      </c>
      <c r="AA29" s="40"/>
      <c r="AB29" s="45">
        <f t="shared" si="9"/>
        <v>0</v>
      </c>
      <c r="AC29" s="27">
        <f t="shared" si="29"/>
        <v>0</v>
      </c>
      <c r="AD29" s="48"/>
      <c r="AE29" s="9"/>
      <c r="AF29" s="24">
        <f t="shared" si="42"/>
        <v>0</v>
      </c>
      <c r="AG29" s="28">
        <f t="shared" si="51"/>
        <v>2178.11</v>
      </c>
      <c r="AH29" s="9">
        <f t="shared" si="43"/>
        <v>200.15819999999999</v>
      </c>
      <c r="AI29" s="9">
        <f t="shared" si="44"/>
        <v>3.2669999999999999</v>
      </c>
      <c r="AJ29" s="9">
        <f t="shared" si="45"/>
        <v>2178</v>
      </c>
      <c r="AK29" s="9">
        <f t="shared" si="46"/>
        <v>203.42519999999999</v>
      </c>
      <c r="AL29" s="9">
        <f t="shared" si="47"/>
        <v>1974.6848000000002</v>
      </c>
      <c r="AM29" s="9">
        <f t="shared" si="52"/>
        <v>1974.6848000000002</v>
      </c>
      <c r="AN29" s="9"/>
      <c r="AO29" s="9"/>
      <c r="AP29" s="9"/>
      <c r="AQ29" s="9"/>
      <c r="AR29" s="9"/>
      <c r="AS29" s="9"/>
      <c r="AT29" s="9">
        <f t="shared" si="48"/>
        <v>0</v>
      </c>
      <c r="AU29" s="9"/>
      <c r="AV29" s="9">
        <f t="shared" si="33"/>
        <v>203.42519999999999</v>
      </c>
      <c r="AW29" s="9">
        <f t="shared" si="53"/>
        <v>2178.11</v>
      </c>
      <c r="AX29" s="9">
        <f t="shared" si="49"/>
        <v>1975</v>
      </c>
      <c r="AY29" s="4">
        <f t="shared" si="21"/>
        <v>26.040000000000006</v>
      </c>
      <c r="AZ29" s="3"/>
      <c r="BA29" s="3">
        <v>27.67</v>
      </c>
      <c r="BB29" s="4">
        <f t="shared" si="54"/>
        <v>52.70000000000001</v>
      </c>
      <c r="BC29" s="3">
        <v>0</v>
      </c>
      <c r="BD29" s="3">
        <v>0</v>
      </c>
      <c r="BE29" s="3">
        <v>0</v>
      </c>
      <c r="BF29" s="3">
        <v>0</v>
      </c>
      <c r="BG29" s="19">
        <f t="shared" si="22"/>
        <v>32.02000000000001</v>
      </c>
      <c r="BH29" s="19"/>
      <c r="BI29" s="19">
        <v>-9.33</v>
      </c>
      <c r="BJ29" s="19">
        <f t="shared" si="50"/>
        <v>22.71</v>
      </c>
      <c r="BK29" s="9"/>
      <c r="BL29" s="9"/>
      <c r="BM29" s="9"/>
      <c r="BN29" s="9"/>
      <c r="BO29" s="4"/>
      <c r="BP29" s="9"/>
    </row>
    <row r="30" spans="1:68" x14ac:dyDescent="0.2">
      <c r="A30" s="6"/>
      <c r="B30" s="2" t="s">
        <v>9</v>
      </c>
      <c r="C30" s="4"/>
      <c r="D30" s="3"/>
      <c r="E30" s="3"/>
      <c r="F30" s="3"/>
      <c r="G30" s="9">
        <v>1263.1400000000001</v>
      </c>
      <c r="H30" s="9">
        <v>527.9</v>
      </c>
      <c r="I30" s="9">
        <v>385</v>
      </c>
      <c r="J30" s="12">
        <v>2.0699999999999998</v>
      </c>
      <c r="K30" s="9">
        <v>12.96494</v>
      </c>
      <c r="L30" s="9">
        <v>83.77346</v>
      </c>
      <c r="M30" s="9">
        <f t="shared" si="34"/>
        <v>2178.11</v>
      </c>
      <c r="N30" s="27">
        <f t="shared" si="35"/>
        <v>2178.11</v>
      </c>
      <c r="O30" s="32"/>
      <c r="P30" s="24">
        <f t="shared" si="36"/>
        <v>0</v>
      </c>
      <c r="Q30" s="38"/>
      <c r="R30" s="9"/>
      <c r="S30" s="24">
        <f t="shared" si="37"/>
        <v>0</v>
      </c>
      <c r="T30" s="36"/>
      <c r="U30" s="40"/>
      <c r="V30" s="9">
        <f t="shared" si="38"/>
        <v>0</v>
      </c>
      <c r="W30" s="27">
        <f t="shared" si="39"/>
        <v>0</v>
      </c>
      <c r="X30" s="40"/>
      <c r="Y30" s="45">
        <f t="shared" si="40"/>
        <v>0</v>
      </c>
      <c r="Z30" s="27">
        <f t="shared" si="41"/>
        <v>0</v>
      </c>
      <c r="AA30" s="40"/>
      <c r="AB30" s="45">
        <f t="shared" si="9"/>
        <v>0</v>
      </c>
      <c r="AC30" s="27">
        <f t="shared" si="29"/>
        <v>0</v>
      </c>
      <c r="AD30" s="48"/>
      <c r="AE30" s="9"/>
      <c r="AF30" s="24">
        <f t="shared" si="42"/>
        <v>0</v>
      </c>
      <c r="AG30" s="28">
        <f t="shared" si="51"/>
        <v>2178.11</v>
      </c>
      <c r="AH30" s="9">
        <f t="shared" si="43"/>
        <v>200.15819999999999</v>
      </c>
      <c r="AI30" s="9">
        <f t="shared" si="44"/>
        <v>3.2669999999999999</v>
      </c>
      <c r="AJ30" s="9">
        <f t="shared" si="45"/>
        <v>2178</v>
      </c>
      <c r="AK30" s="9">
        <f t="shared" si="46"/>
        <v>203.42519999999999</v>
      </c>
      <c r="AL30" s="9">
        <f t="shared" si="47"/>
        <v>1974.6848000000002</v>
      </c>
      <c r="AM30" s="9">
        <f t="shared" si="52"/>
        <v>1974.6848000000002</v>
      </c>
      <c r="AN30" s="9"/>
      <c r="AO30" s="9"/>
      <c r="AP30" s="9"/>
      <c r="AQ30" s="9"/>
      <c r="AR30" s="9"/>
      <c r="AS30" s="9"/>
      <c r="AT30" s="9">
        <f t="shared" si="48"/>
        <v>0</v>
      </c>
      <c r="AU30" s="9"/>
      <c r="AV30" s="9">
        <f t="shared" si="33"/>
        <v>203.42519999999999</v>
      </c>
      <c r="AW30" s="9">
        <f t="shared" si="53"/>
        <v>2178.11</v>
      </c>
      <c r="AX30" s="9">
        <f t="shared" si="49"/>
        <v>1975</v>
      </c>
      <c r="AY30" s="4">
        <f t="shared" si="21"/>
        <v>28.210000000000008</v>
      </c>
      <c r="AZ30" s="3"/>
      <c r="BA30" s="3"/>
      <c r="BB30" s="4">
        <f t="shared" si="54"/>
        <v>54.870000000000012</v>
      </c>
      <c r="BC30" s="3"/>
      <c r="BD30" s="3"/>
      <c r="BE30" s="3"/>
      <c r="BF30" s="3"/>
      <c r="BG30" s="19">
        <f t="shared" si="22"/>
        <v>34.690000000000012</v>
      </c>
      <c r="BH30" s="19"/>
      <c r="BI30" s="19"/>
      <c r="BJ30" s="19">
        <f t="shared" si="50"/>
        <v>25.380000000000003</v>
      </c>
      <c r="BK30" s="9"/>
      <c r="BL30" s="9"/>
      <c r="BM30" s="9"/>
      <c r="BN30" s="9"/>
      <c r="BO30" s="4"/>
      <c r="BP30" s="9"/>
    </row>
    <row r="31" spans="1:68" x14ac:dyDescent="0.2">
      <c r="A31" s="6"/>
      <c r="B31" s="2" t="s">
        <v>9</v>
      </c>
      <c r="C31" s="4"/>
      <c r="D31" s="3"/>
      <c r="E31" s="3"/>
      <c r="F31" s="3"/>
      <c r="G31" s="9">
        <v>1263.1400000000001</v>
      </c>
      <c r="H31" s="9">
        <v>527.9</v>
      </c>
      <c r="I31" s="9">
        <v>385</v>
      </c>
      <c r="J31" s="12">
        <v>2.0699999999999998</v>
      </c>
      <c r="K31" s="9">
        <v>12.96494</v>
      </c>
      <c r="L31" s="9">
        <v>83.77346</v>
      </c>
      <c r="M31" s="9">
        <f t="shared" si="34"/>
        <v>2178.11</v>
      </c>
      <c r="N31" s="27">
        <f t="shared" si="35"/>
        <v>2178.11</v>
      </c>
      <c r="O31" s="32"/>
      <c r="P31" s="24">
        <f t="shared" si="36"/>
        <v>0</v>
      </c>
      <c r="Q31" s="38"/>
      <c r="R31" s="9"/>
      <c r="S31" s="24">
        <f t="shared" si="37"/>
        <v>0</v>
      </c>
      <c r="T31" s="36"/>
      <c r="U31" s="40"/>
      <c r="V31" s="9">
        <f t="shared" si="38"/>
        <v>0</v>
      </c>
      <c r="W31" s="27">
        <f t="shared" si="39"/>
        <v>0</v>
      </c>
      <c r="X31" s="40"/>
      <c r="Y31" s="45">
        <f t="shared" si="40"/>
        <v>0</v>
      </c>
      <c r="Z31" s="27">
        <f t="shared" si="41"/>
        <v>0</v>
      </c>
      <c r="AA31" s="40"/>
      <c r="AB31" s="45">
        <f t="shared" si="9"/>
        <v>0</v>
      </c>
      <c r="AC31" s="27">
        <f t="shared" si="29"/>
        <v>0</v>
      </c>
      <c r="AD31" s="48"/>
      <c r="AE31" s="9"/>
      <c r="AF31" s="24">
        <f t="shared" si="42"/>
        <v>0</v>
      </c>
      <c r="AG31" s="28">
        <f t="shared" si="51"/>
        <v>2178.11</v>
      </c>
      <c r="AH31" s="9">
        <f t="shared" si="43"/>
        <v>200.15819999999999</v>
      </c>
      <c r="AI31" s="9">
        <f t="shared" si="44"/>
        <v>3.2669999999999999</v>
      </c>
      <c r="AJ31" s="9">
        <f t="shared" si="45"/>
        <v>2178</v>
      </c>
      <c r="AK31" s="9">
        <f t="shared" si="46"/>
        <v>203.42519999999999</v>
      </c>
      <c r="AL31" s="9">
        <f t="shared" si="47"/>
        <v>1974.6848000000002</v>
      </c>
      <c r="AM31" s="9">
        <f t="shared" si="52"/>
        <v>1974.6848000000002</v>
      </c>
      <c r="AN31" s="9"/>
      <c r="AO31" s="9"/>
      <c r="AP31" s="9"/>
      <c r="AQ31" s="9"/>
      <c r="AR31" s="9"/>
      <c r="AS31" s="9"/>
      <c r="AT31" s="9">
        <f t="shared" si="48"/>
        <v>0</v>
      </c>
      <c r="AU31" s="9"/>
      <c r="AV31" s="9">
        <f t="shared" si="33"/>
        <v>203.42519999999999</v>
      </c>
      <c r="AW31" s="9">
        <f t="shared" si="53"/>
        <v>2178.11</v>
      </c>
      <c r="AX31" s="9">
        <f t="shared" si="49"/>
        <v>1975</v>
      </c>
      <c r="AY31" s="4">
        <f t="shared" si="21"/>
        <v>30.38000000000001</v>
      </c>
      <c r="AZ31" s="3"/>
      <c r="BA31" s="3"/>
      <c r="BB31" s="4">
        <f t="shared" si="54"/>
        <v>57.040000000000013</v>
      </c>
      <c r="BC31" s="3"/>
      <c r="BD31" s="3"/>
      <c r="BE31" s="3"/>
      <c r="BF31" s="3"/>
      <c r="BG31" s="19">
        <f t="shared" si="22"/>
        <v>37.360000000000014</v>
      </c>
      <c r="BH31" s="19"/>
      <c r="BI31" s="19"/>
      <c r="BJ31" s="19">
        <f t="shared" si="50"/>
        <v>28.050000000000004</v>
      </c>
      <c r="BK31" s="9"/>
      <c r="BL31" s="9"/>
      <c r="BM31" s="9"/>
      <c r="BN31" s="9"/>
      <c r="BO31" s="4"/>
      <c r="BP31" s="9"/>
    </row>
    <row r="32" spans="1:68" x14ac:dyDescent="0.2">
      <c r="A32" s="6"/>
      <c r="B32" s="2" t="s">
        <v>9</v>
      </c>
      <c r="C32" s="4"/>
      <c r="D32" s="3"/>
      <c r="E32" s="3"/>
      <c r="F32" s="3"/>
      <c r="G32" s="9">
        <v>1263.1400000000001</v>
      </c>
      <c r="H32" s="9">
        <v>527.9</v>
      </c>
      <c r="I32" s="9">
        <v>385</v>
      </c>
      <c r="J32" s="12">
        <v>2.0699999999999998</v>
      </c>
      <c r="K32" s="9">
        <v>12.96494</v>
      </c>
      <c r="L32" s="9">
        <v>83.77346</v>
      </c>
      <c r="M32" s="9">
        <f t="shared" si="34"/>
        <v>2178.11</v>
      </c>
      <c r="N32" s="27">
        <f t="shared" si="35"/>
        <v>2178.11</v>
      </c>
      <c r="O32" s="32"/>
      <c r="P32" s="24">
        <f t="shared" si="36"/>
        <v>0</v>
      </c>
      <c r="Q32" s="38"/>
      <c r="R32" s="9"/>
      <c r="S32" s="24">
        <f t="shared" si="37"/>
        <v>0</v>
      </c>
      <c r="T32" s="36"/>
      <c r="U32" s="40"/>
      <c r="V32" s="9">
        <f t="shared" si="38"/>
        <v>0</v>
      </c>
      <c r="W32" s="27">
        <f t="shared" si="39"/>
        <v>0</v>
      </c>
      <c r="X32" s="40"/>
      <c r="Y32" s="45">
        <f t="shared" si="40"/>
        <v>0</v>
      </c>
      <c r="Z32" s="27">
        <f t="shared" si="41"/>
        <v>0</v>
      </c>
      <c r="AA32" s="40"/>
      <c r="AB32" s="45">
        <f t="shared" si="9"/>
        <v>0</v>
      </c>
      <c r="AC32" s="27">
        <f t="shared" si="29"/>
        <v>0</v>
      </c>
      <c r="AD32" s="48"/>
      <c r="AE32" s="9"/>
      <c r="AF32" s="24">
        <f t="shared" si="42"/>
        <v>0</v>
      </c>
      <c r="AG32" s="28">
        <f t="shared" si="51"/>
        <v>2178.11</v>
      </c>
      <c r="AH32" s="9">
        <f t="shared" si="43"/>
        <v>200.15819999999999</v>
      </c>
      <c r="AI32" s="9">
        <f t="shared" si="44"/>
        <v>3.2669999999999999</v>
      </c>
      <c r="AJ32" s="9">
        <f t="shared" si="45"/>
        <v>2178</v>
      </c>
      <c r="AK32" s="9">
        <f t="shared" si="46"/>
        <v>203.42519999999999</v>
      </c>
      <c r="AL32" s="9">
        <f t="shared" si="47"/>
        <v>1974.6848000000002</v>
      </c>
      <c r="AM32" s="9">
        <f t="shared" si="52"/>
        <v>1974.6848000000002</v>
      </c>
      <c r="AN32" s="9"/>
      <c r="AO32" s="9"/>
      <c r="AP32" s="9"/>
      <c r="AQ32" s="9"/>
      <c r="AR32" s="9"/>
      <c r="AS32" s="9"/>
      <c r="AT32" s="9">
        <f t="shared" si="48"/>
        <v>0</v>
      </c>
      <c r="AU32" s="9"/>
      <c r="AV32" s="9">
        <f t="shared" si="33"/>
        <v>203.42519999999999</v>
      </c>
      <c r="AW32" s="9">
        <f t="shared" si="53"/>
        <v>2178.11</v>
      </c>
      <c r="AX32" s="9">
        <f t="shared" si="49"/>
        <v>1975</v>
      </c>
      <c r="AY32" s="4">
        <f t="shared" si="21"/>
        <v>32.550000000000011</v>
      </c>
      <c r="AZ32" s="3"/>
      <c r="BA32" s="3"/>
      <c r="BB32" s="4">
        <f t="shared" si="54"/>
        <v>59.210000000000015</v>
      </c>
      <c r="BC32" s="3"/>
      <c r="BD32" s="3"/>
      <c r="BE32" s="3"/>
      <c r="BF32" s="3"/>
      <c r="BG32" s="19">
        <f t="shared" si="22"/>
        <v>40.030000000000015</v>
      </c>
      <c r="BH32" s="19"/>
      <c r="BI32" s="19"/>
      <c r="BJ32" s="19">
        <f t="shared" si="50"/>
        <v>30.720000000000006</v>
      </c>
      <c r="BK32" s="9"/>
      <c r="BL32" s="9"/>
      <c r="BM32" s="9"/>
      <c r="BN32" s="9"/>
      <c r="BO32" s="4"/>
      <c r="BP32" s="9"/>
    </row>
    <row r="33" spans="1:68" x14ac:dyDescent="0.2">
      <c r="A33" s="6"/>
      <c r="B33" s="2" t="s">
        <v>9</v>
      </c>
      <c r="C33" s="4"/>
      <c r="D33" s="3"/>
      <c r="E33" s="3"/>
      <c r="F33" s="3"/>
      <c r="G33" s="9">
        <v>1263.1400000000001</v>
      </c>
      <c r="H33" s="9">
        <v>527.9</v>
      </c>
      <c r="I33" s="9">
        <v>385</v>
      </c>
      <c r="J33" s="12">
        <v>2.0699999999999998</v>
      </c>
      <c r="K33" s="9">
        <v>12.96494</v>
      </c>
      <c r="L33" s="9">
        <v>83.77346</v>
      </c>
      <c r="M33" s="9">
        <f t="shared" si="34"/>
        <v>2178.11</v>
      </c>
      <c r="N33" s="27">
        <f t="shared" si="35"/>
        <v>2178.11</v>
      </c>
      <c r="O33" s="32"/>
      <c r="P33" s="24">
        <f t="shared" si="36"/>
        <v>0</v>
      </c>
      <c r="Q33" s="38"/>
      <c r="R33" s="9"/>
      <c r="S33" s="24">
        <f t="shared" si="37"/>
        <v>0</v>
      </c>
      <c r="T33" s="36"/>
      <c r="U33" s="40"/>
      <c r="V33" s="9">
        <f t="shared" si="38"/>
        <v>0</v>
      </c>
      <c r="W33" s="27">
        <f t="shared" si="39"/>
        <v>0</v>
      </c>
      <c r="X33" s="40"/>
      <c r="Y33" s="45">
        <f t="shared" si="40"/>
        <v>0</v>
      </c>
      <c r="Z33" s="27">
        <f t="shared" si="41"/>
        <v>0</v>
      </c>
      <c r="AA33" s="40"/>
      <c r="AB33" s="45">
        <f t="shared" si="9"/>
        <v>0</v>
      </c>
      <c r="AC33" s="27">
        <f t="shared" si="29"/>
        <v>0</v>
      </c>
      <c r="AD33" s="48"/>
      <c r="AE33" s="9"/>
      <c r="AF33" s="24">
        <f t="shared" si="42"/>
        <v>0</v>
      </c>
      <c r="AG33" s="28">
        <f t="shared" si="51"/>
        <v>2178.11</v>
      </c>
      <c r="AH33" s="9">
        <f t="shared" si="43"/>
        <v>200.15819999999999</v>
      </c>
      <c r="AI33" s="9">
        <f t="shared" si="44"/>
        <v>3.2669999999999999</v>
      </c>
      <c r="AJ33" s="9">
        <f t="shared" si="45"/>
        <v>2178</v>
      </c>
      <c r="AK33" s="9">
        <f t="shared" si="46"/>
        <v>203.42519999999999</v>
      </c>
      <c r="AL33" s="9">
        <f t="shared" si="47"/>
        <v>1974.6848000000002</v>
      </c>
      <c r="AM33" s="9">
        <f t="shared" si="52"/>
        <v>1974.6848000000002</v>
      </c>
      <c r="AN33" s="9"/>
      <c r="AO33" s="9"/>
      <c r="AP33" s="9"/>
      <c r="AQ33" s="9"/>
      <c r="AR33" s="9"/>
      <c r="AS33" s="9"/>
      <c r="AT33" s="9">
        <f t="shared" si="48"/>
        <v>0</v>
      </c>
      <c r="AU33" s="9"/>
      <c r="AV33" s="9">
        <f t="shared" si="33"/>
        <v>203.42519999999999</v>
      </c>
      <c r="AW33" s="9">
        <f t="shared" si="53"/>
        <v>2178.11</v>
      </c>
      <c r="AX33" s="9">
        <f t="shared" si="49"/>
        <v>1975</v>
      </c>
      <c r="AY33" s="4">
        <f t="shared" si="21"/>
        <v>34.720000000000013</v>
      </c>
      <c r="AZ33" s="3"/>
      <c r="BA33" s="3"/>
      <c r="BB33" s="4">
        <f t="shared" si="54"/>
        <v>61.380000000000017</v>
      </c>
      <c r="BC33" s="3"/>
      <c r="BD33" s="3"/>
      <c r="BE33" s="3"/>
      <c r="BF33" s="3"/>
      <c r="BG33" s="19">
        <f t="shared" si="22"/>
        <v>42.700000000000017</v>
      </c>
      <c r="BH33" s="19"/>
      <c r="BI33" s="19"/>
      <c r="BJ33" s="19">
        <f t="shared" si="50"/>
        <v>33.390000000000008</v>
      </c>
      <c r="BK33" s="9"/>
      <c r="BL33" s="9"/>
      <c r="BM33" s="9"/>
      <c r="BN33" s="9"/>
      <c r="BO33" s="4"/>
      <c r="BP33" s="9"/>
    </row>
    <row r="34" spans="1:68" x14ac:dyDescent="0.2">
      <c r="A34" s="6"/>
      <c r="B34" s="2" t="s">
        <v>9</v>
      </c>
      <c r="C34" s="4"/>
      <c r="D34" s="3"/>
      <c r="E34" s="3"/>
      <c r="F34" s="3"/>
      <c r="G34" s="9">
        <v>1263.1400000000001</v>
      </c>
      <c r="H34" s="9">
        <v>527.9</v>
      </c>
      <c r="I34" s="9">
        <v>385</v>
      </c>
      <c r="J34" s="12">
        <v>2.0699999999999998</v>
      </c>
      <c r="K34" s="9">
        <v>12.96494</v>
      </c>
      <c r="L34" s="9">
        <v>83.77346</v>
      </c>
      <c r="M34" s="9">
        <f t="shared" si="34"/>
        <v>2178.11</v>
      </c>
      <c r="N34" s="27">
        <f t="shared" si="35"/>
        <v>2178.11</v>
      </c>
      <c r="O34" s="32"/>
      <c r="P34" s="24">
        <f t="shared" si="36"/>
        <v>0</v>
      </c>
      <c r="Q34" s="38"/>
      <c r="R34" s="9"/>
      <c r="S34" s="24">
        <f t="shared" si="37"/>
        <v>0</v>
      </c>
      <c r="T34" s="36"/>
      <c r="U34" s="40"/>
      <c r="V34" s="9">
        <f t="shared" si="38"/>
        <v>0</v>
      </c>
      <c r="W34" s="27">
        <f t="shared" si="39"/>
        <v>0</v>
      </c>
      <c r="X34" s="40"/>
      <c r="Y34" s="45">
        <f t="shared" si="40"/>
        <v>0</v>
      </c>
      <c r="Z34" s="27">
        <f t="shared" si="41"/>
        <v>0</v>
      </c>
      <c r="AA34" s="40"/>
      <c r="AB34" s="45">
        <f t="shared" si="9"/>
        <v>0</v>
      </c>
      <c r="AC34" s="27">
        <f t="shared" si="29"/>
        <v>0</v>
      </c>
      <c r="AD34" s="48"/>
      <c r="AE34" s="9"/>
      <c r="AF34" s="24">
        <f t="shared" si="42"/>
        <v>0</v>
      </c>
      <c r="AG34" s="28">
        <f t="shared" si="51"/>
        <v>2178.11</v>
      </c>
      <c r="AH34" s="9">
        <f t="shared" si="43"/>
        <v>200.15819999999999</v>
      </c>
      <c r="AI34" s="9">
        <f t="shared" si="44"/>
        <v>3.2669999999999999</v>
      </c>
      <c r="AJ34" s="9">
        <f t="shared" si="45"/>
        <v>2178</v>
      </c>
      <c r="AK34" s="9">
        <f t="shared" si="46"/>
        <v>203.42519999999999</v>
      </c>
      <c r="AL34" s="9">
        <f t="shared" si="47"/>
        <v>1974.6848000000002</v>
      </c>
      <c r="AM34" s="9">
        <f t="shared" si="52"/>
        <v>1974.6848000000002</v>
      </c>
      <c r="AN34" s="9"/>
      <c r="AO34" s="9"/>
      <c r="AP34" s="9"/>
      <c r="AQ34" s="9"/>
      <c r="AR34" s="9"/>
      <c r="AS34" s="9"/>
      <c r="AT34" s="9">
        <f t="shared" si="48"/>
        <v>0</v>
      </c>
      <c r="AU34" s="9"/>
      <c r="AV34" s="9">
        <f t="shared" si="33"/>
        <v>203.42519999999999</v>
      </c>
      <c r="AW34" s="9">
        <f t="shared" si="53"/>
        <v>2178.11</v>
      </c>
      <c r="AX34" s="9">
        <f t="shared" si="49"/>
        <v>1975</v>
      </c>
      <c r="AY34" s="4">
        <f t="shared" si="21"/>
        <v>36.890000000000015</v>
      </c>
      <c r="AZ34" s="3"/>
      <c r="BA34" s="3"/>
      <c r="BB34" s="4">
        <f t="shared" si="54"/>
        <v>63.550000000000018</v>
      </c>
      <c r="BC34" s="3"/>
      <c r="BD34" s="3"/>
      <c r="BE34" s="3"/>
      <c r="BF34" s="3"/>
      <c r="BG34" s="19">
        <f t="shared" si="22"/>
        <v>45.370000000000019</v>
      </c>
      <c r="BH34" s="19"/>
      <c r="BI34" s="19"/>
      <c r="BJ34" s="19">
        <f t="shared" si="50"/>
        <v>36.060000000000009</v>
      </c>
      <c r="BK34" s="9"/>
      <c r="BL34" s="9"/>
      <c r="BM34" s="9"/>
      <c r="BN34" s="9"/>
      <c r="BO34" s="4"/>
      <c r="BP34" s="9"/>
    </row>
    <row r="35" spans="1:68" x14ac:dyDescent="0.2">
      <c r="A35" s="6"/>
      <c r="B35" s="2" t="s">
        <v>9</v>
      </c>
      <c r="C35" s="4"/>
      <c r="D35" s="3"/>
      <c r="E35" s="3"/>
      <c r="F35" s="3"/>
      <c r="G35" s="9">
        <v>1263.1400000000001</v>
      </c>
      <c r="H35" s="9">
        <v>527.9</v>
      </c>
      <c r="I35" s="9">
        <v>385</v>
      </c>
      <c r="J35" s="12">
        <v>2.0699999999999998</v>
      </c>
      <c r="K35" s="9">
        <v>12.96494</v>
      </c>
      <c r="L35" s="9">
        <v>83.77346</v>
      </c>
      <c r="M35" s="9">
        <f t="shared" si="34"/>
        <v>2178.11</v>
      </c>
      <c r="N35" s="27">
        <f t="shared" si="35"/>
        <v>2178.11</v>
      </c>
      <c r="O35" s="32"/>
      <c r="P35" s="24">
        <f t="shared" si="36"/>
        <v>0</v>
      </c>
      <c r="Q35" s="38"/>
      <c r="R35" s="9"/>
      <c r="S35" s="24">
        <f t="shared" si="37"/>
        <v>0</v>
      </c>
      <c r="T35" s="36"/>
      <c r="U35" s="40"/>
      <c r="V35" s="9">
        <f t="shared" si="38"/>
        <v>0</v>
      </c>
      <c r="W35" s="27">
        <f t="shared" si="39"/>
        <v>0</v>
      </c>
      <c r="X35" s="40"/>
      <c r="Y35" s="45">
        <f t="shared" si="40"/>
        <v>0</v>
      </c>
      <c r="Z35" s="27">
        <f t="shared" si="41"/>
        <v>0</v>
      </c>
      <c r="AA35" s="40"/>
      <c r="AB35" s="45">
        <f t="shared" si="9"/>
        <v>0</v>
      </c>
      <c r="AC35" s="27">
        <f t="shared" si="29"/>
        <v>0</v>
      </c>
      <c r="AD35" s="48"/>
      <c r="AE35" s="9"/>
      <c r="AF35" s="24">
        <f t="shared" si="42"/>
        <v>0</v>
      </c>
      <c r="AG35" s="28">
        <f t="shared" si="51"/>
        <v>2178.11</v>
      </c>
      <c r="AH35" s="9">
        <f t="shared" si="43"/>
        <v>200.15819999999999</v>
      </c>
      <c r="AI35" s="9">
        <f t="shared" si="44"/>
        <v>3.2669999999999999</v>
      </c>
      <c r="AJ35" s="9">
        <f t="shared" si="45"/>
        <v>2178</v>
      </c>
      <c r="AK35" s="9">
        <f t="shared" si="46"/>
        <v>203.42519999999999</v>
      </c>
      <c r="AL35" s="9">
        <f t="shared" si="47"/>
        <v>1974.6848000000002</v>
      </c>
      <c r="AM35" s="9">
        <f t="shared" si="52"/>
        <v>1974.6848000000002</v>
      </c>
      <c r="AN35" s="9"/>
      <c r="AO35" s="9"/>
      <c r="AP35" s="9"/>
      <c r="AQ35" s="9"/>
      <c r="AR35" s="9"/>
      <c r="AS35" s="9"/>
      <c r="AT35" s="9">
        <f t="shared" si="48"/>
        <v>0</v>
      </c>
      <c r="AU35" s="9"/>
      <c r="AV35" s="9">
        <f t="shared" si="33"/>
        <v>203.42519999999999</v>
      </c>
      <c r="AW35" s="9">
        <f t="shared" si="53"/>
        <v>2178.11</v>
      </c>
      <c r="AX35" s="9">
        <f t="shared" si="49"/>
        <v>1975</v>
      </c>
      <c r="AY35" s="4">
        <f t="shared" si="21"/>
        <v>39.060000000000016</v>
      </c>
      <c r="AZ35" s="3"/>
      <c r="BA35" s="3"/>
      <c r="BB35" s="4">
        <f t="shared" si="54"/>
        <v>65.720000000000013</v>
      </c>
      <c r="BC35" s="3"/>
      <c r="BD35" s="3"/>
      <c r="BE35" s="3"/>
      <c r="BF35" s="3"/>
      <c r="BG35" s="19">
        <f t="shared" si="22"/>
        <v>48.04000000000002</v>
      </c>
      <c r="BH35" s="19"/>
      <c r="BI35" s="19"/>
      <c r="BJ35" s="19">
        <f t="shared" si="50"/>
        <v>38.730000000000011</v>
      </c>
      <c r="BK35" s="9"/>
      <c r="BL35" s="9"/>
      <c r="BM35" s="9"/>
      <c r="BN35" s="9"/>
      <c r="BO35" s="4"/>
      <c r="BP35" s="9"/>
    </row>
    <row r="36" spans="1:68" x14ac:dyDescent="0.2">
      <c r="A36" s="6"/>
      <c r="B36" s="2" t="s">
        <v>9</v>
      </c>
      <c r="C36" s="4"/>
      <c r="D36" s="3"/>
      <c r="E36" s="3"/>
      <c r="F36" s="3"/>
      <c r="G36" s="9">
        <v>1263.1400000000001</v>
      </c>
      <c r="H36" s="9">
        <v>527.9</v>
      </c>
      <c r="I36" s="9">
        <v>385</v>
      </c>
      <c r="J36" s="12">
        <v>2.0699999999999998</v>
      </c>
      <c r="K36" s="9">
        <v>12.96494</v>
      </c>
      <c r="L36" s="9">
        <v>83.77346</v>
      </c>
      <c r="M36" s="9">
        <f t="shared" si="34"/>
        <v>2178.11</v>
      </c>
      <c r="N36" s="27">
        <f t="shared" si="35"/>
        <v>2178.11</v>
      </c>
      <c r="O36" s="32"/>
      <c r="P36" s="24">
        <f t="shared" si="36"/>
        <v>0</v>
      </c>
      <c r="Q36" s="38"/>
      <c r="R36" s="9"/>
      <c r="S36" s="24">
        <f t="shared" si="37"/>
        <v>0</v>
      </c>
      <c r="T36" s="36"/>
      <c r="U36" s="40"/>
      <c r="V36" s="9">
        <f t="shared" si="38"/>
        <v>0</v>
      </c>
      <c r="W36" s="27">
        <f t="shared" si="39"/>
        <v>0</v>
      </c>
      <c r="X36" s="40"/>
      <c r="Y36" s="45">
        <f t="shared" si="40"/>
        <v>0</v>
      </c>
      <c r="Z36" s="27">
        <f t="shared" si="41"/>
        <v>0</v>
      </c>
      <c r="AA36" s="40"/>
      <c r="AB36" s="45">
        <f t="shared" si="9"/>
        <v>0</v>
      </c>
      <c r="AC36" s="27">
        <f t="shared" si="29"/>
        <v>0</v>
      </c>
      <c r="AD36" s="48"/>
      <c r="AE36" s="9"/>
      <c r="AF36" s="24">
        <f t="shared" si="42"/>
        <v>0</v>
      </c>
      <c r="AG36" s="28">
        <f t="shared" si="51"/>
        <v>2178.11</v>
      </c>
      <c r="AH36" s="9">
        <f t="shared" si="43"/>
        <v>200.15819999999999</v>
      </c>
      <c r="AI36" s="9">
        <f t="shared" si="44"/>
        <v>3.2669999999999999</v>
      </c>
      <c r="AJ36" s="9">
        <f t="shared" si="45"/>
        <v>2178</v>
      </c>
      <c r="AK36" s="9">
        <f t="shared" si="46"/>
        <v>203.42519999999999</v>
      </c>
      <c r="AL36" s="9">
        <f t="shared" si="47"/>
        <v>1974.6848000000002</v>
      </c>
      <c r="AM36" s="9">
        <f t="shared" si="52"/>
        <v>1974.6848000000002</v>
      </c>
      <c r="AN36" s="9"/>
      <c r="AO36" s="9"/>
      <c r="AP36" s="9"/>
      <c r="AQ36" s="9"/>
      <c r="AR36" s="9"/>
      <c r="AS36" s="9"/>
      <c r="AT36" s="9">
        <f t="shared" si="48"/>
        <v>0</v>
      </c>
      <c r="AU36" s="9"/>
      <c r="AV36" s="9">
        <f t="shared" si="33"/>
        <v>203.42519999999999</v>
      </c>
      <c r="AW36" s="9">
        <f t="shared" si="53"/>
        <v>2178.11</v>
      </c>
      <c r="AX36" s="9">
        <f t="shared" si="49"/>
        <v>1975</v>
      </c>
      <c r="AY36" s="4">
        <f t="shared" si="21"/>
        <v>41.230000000000018</v>
      </c>
      <c r="AZ36" s="3"/>
      <c r="BA36" s="3"/>
      <c r="BB36" s="4">
        <f t="shared" si="54"/>
        <v>67.890000000000015</v>
      </c>
      <c r="BC36" s="3"/>
      <c r="BD36" s="3"/>
      <c r="BE36" s="3"/>
      <c r="BF36" s="3"/>
      <c r="BG36" s="19">
        <f t="shared" si="22"/>
        <v>50.710000000000022</v>
      </c>
      <c r="BH36" s="19"/>
      <c r="BI36" s="19"/>
      <c r="BJ36" s="19">
        <f t="shared" si="50"/>
        <v>41.400000000000013</v>
      </c>
      <c r="BK36" s="9"/>
      <c r="BL36" s="9"/>
      <c r="BM36" s="9"/>
      <c r="BN36" s="9"/>
      <c r="BO36" s="4"/>
      <c r="BP36" s="9"/>
    </row>
    <row r="37" spans="1:68" x14ac:dyDescent="0.2">
      <c r="A37" s="6"/>
      <c r="B37" s="2" t="s">
        <v>9</v>
      </c>
      <c r="C37" s="4"/>
      <c r="D37" s="3"/>
      <c r="E37" s="3"/>
      <c r="F37" s="3"/>
      <c r="G37" s="9">
        <v>1263.1400000000001</v>
      </c>
      <c r="H37" s="9">
        <v>527.9</v>
      </c>
      <c r="I37" s="9">
        <v>385</v>
      </c>
      <c r="J37" s="12">
        <v>2.0699999999999998</v>
      </c>
      <c r="K37" s="9">
        <v>12.96494</v>
      </c>
      <c r="L37" s="9">
        <v>83.77346</v>
      </c>
      <c r="M37" s="9">
        <f t="shared" si="34"/>
        <v>2178.11</v>
      </c>
      <c r="N37" s="27">
        <f t="shared" si="35"/>
        <v>2178.11</v>
      </c>
      <c r="O37" s="32"/>
      <c r="P37" s="24">
        <f t="shared" si="36"/>
        <v>0</v>
      </c>
      <c r="Q37" s="38"/>
      <c r="R37" s="9"/>
      <c r="S37" s="24">
        <f t="shared" si="37"/>
        <v>0</v>
      </c>
      <c r="T37" s="36"/>
      <c r="U37" s="40"/>
      <c r="V37" s="9">
        <f t="shared" si="38"/>
        <v>0</v>
      </c>
      <c r="W37" s="27">
        <f t="shared" si="39"/>
        <v>0</v>
      </c>
      <c r="X37" s="40"/>
      <c r="Y37" s="45">
        <f t="shared" si="40"/>
        <v>0</v>
      </c>
      <c r="Z37" s="27">
        <f t="shared" si="41"/>
        <v>0</v>
      </c>
      <c r="AA37" s="40"/>
      <c r="AB37" s="45">
        <f t="shared" si="9"/>
        <v>0</v>
      </c>
      <c r="AC37" s="27">
        <f t="shared" si="29"/>
        <v>0</v>
      </c>
      <c r="AD37" s="48"/>
      <c r="AE37" s="9"/>
      <c r="AF37" s="24">
        <f t="shared" si="42"/>
        <v>0</v>
      </c>
      <c r="AG37" s="28">
        <f t="shared" si="51"/>
        <v>2178.11</v>
      </c>
      <c r="AH37" s="9">
        <f t="shared" si="43"/>
        <v>200.15819999999999</v>
      </c>
      <c r="AI37" s="9">
        <f t="shared" si="44"/>
        <v>3.2669999999999999</v>
      </c>
      <c r="AJ37" s="9">
        <f t="shared" si="45"/>
        <v>2178</v>
      </c>
      <c r="AK37" s="9">
        <f t="shared" si="46"/>
        <v>203.42519999999999</v>
      </c>
      <c r="AL37" s="9">
        <f t="shared" si="47"/>
        <v>1974.6848000000002</v>
      </c>
      <c r="AM37" s="9">
        <f t="shared" si="52"/>
        <v>1974.6848000000002</v>
      </c>
      <c r="AN37" s="9"/>
      <c r="AO37" s="9"/>
      <c r="AP37" s="9"/>
      <c r="AQ37" s="9"/>
      <c r="AR37" s="9"/>
      <c r="AS37" s="9"/>
      <c r="AT37" s="9">
        <f t="shared" si="48"/>
        <v>0</v>
      </c>
      <c r="AU37" s="9"/>
      <c r="AV37" s="9">
        <f t="shared" si="33"/>
        <v>203.42519999999999</v>
      </c>
      <c r="AW37" s="9">
        <f t="shared" si="53"/>
        <v>2178.11</v>
      </c>
      <c r="AX37" s="9">
        <f t="shared" si="49"/>
        <v>1975</v>
      </c>
      <c r="AY37" s="4">
        <f t="shared" si="21"/>
        <v>43.40000000000002</v>
      </c>
      <c r="AZ37" s="3"/>
      <c r="BA37" s="3"/>
      <c r="BB37" s="4">
        <f t="shared" si="54"/>
        <v>70.060000000000016</v>
      </c>
      <c r="BC37" s="3"/>
      <c r="BD37" s="3"/>
      <c r="BE37" s="3"/>
      <c r="BF37" s="3"/>
      <c r="BG37" s="19">
        <f t="shared" si="22"/>
        <v>53.380000000000024</v>
      </c>
      <c r="BH37" s="19"/>
      <c r="BI37" s="19"/>
      <c r="BJ37" s="19">
        <f t="shared" si="50"/>
        <v>44.070000000000014</v>
      </c>
      <c r="BK37" s="9"/>
      <c r="BL37" s="9"/>
      <c r="BM37" s="9"/>
      <c r="BN37" s="9"/>
      <c r="BO37" s="4"/>
      <c r="BP37" s="9"/>
    </row>
    <row r="38" spans="1:68" x14ac:dyDescent="0.2">
      <c r="A38" s="6"/>
      <c r="B38" s="2" t="s">
        <v>9</v>
      </c>
      <c r="C38" s="4"/>
      <c r="D38" s="3"/>
      <c r="E38" s="3"/>
      <c r="F38" s="3"/>
      <c r="G38" s="9">
        <v>1263.1400000000001</v>
      </c>
      <c r="H38" s="9">
        <v>527.9</v>
      </c>
      <c r="I38" s="9">
        <v>385</v>
      </c>
      <c r="J38" s="12">
        <v>2.0699999999999998</v>
      </c>
      <c r="K38" s="9">
        <v>12.96494</v>
      </c>
      <c r="L38" s="9">
        <v>83.77346</v>
      </c>
      <c r="M38" s="9">
        <f t="shared" si="34"/>
        <v>2178.11</v>
      </c>
      <c r="N38" s="27">
        <f t="shared" si="35"/>
        <v>2178.11</v>
      </c>
      <c r="O38" s="32"/>
      <c r="P38" s="24">
        <f t="shared" si="36"/>
        <v>0</v>
      </c>
      <c r="Q38" s="38"/>
      <c r="R38" s="9"/>
      <c r="S38" s="24">
        <f t="shared" si="37"/>
        <v>0</v>
      </c>
      <c r="T38" s="36"/>
      <c r="U38" s="40"/>
      <c r="V38" s="9">
        <f t="shared" si="38"/>
        <v>0</v>
      </c>
      <c r="W38" s="27">
        <f t="shared" si="39"/>
        <v>0</v>
      </c>
      <c r="X38" s="40"/>
      <c r="Y38" s="45">
        <f t="shared" si="40"/>
        <v>0</v>
      </c>
      <c r="Z38" s="27">
        <f t="shared" si="41"/>
        <v>0</v>
      </c>
      <c r="AA38" s="40"/>
      <c r="AB38" s="45">
        <f t="shared" si="9"/>
        <v>0</v>
      </c>
      <c r="AC38" s="27">
        <f t="shared" si="29"/>
        <v>0</v>
      </c>
      <c r="AD38" s="48"/>
      <c r="AE38" s="9"/>
      <c r="AF38" s="24">
        <f t="shared" si="42"/>
        <v>0</v>
      </c>
      <c r="AG38" s="28">
        <f t="shared" si="51"/>
        <v>2178.11</v>
      </c>
      <c r="AH38" s="9">
        <f t="shared" si="43"/>
        <v>200.15819999999999</v>
      </c>
      <c r="AI38" s="9">
        <f t="shared" si="44"/>
        <v>3.2669999999999999</v>
      </c>
      <c r="AJ38" s="9">
        <f t="shared" si="45"/>
        <v>2178</v>
      </c>
      <c r="AK38" s="9">
        <f t="shared" si="46"/>
        <v>203.42519999999999</v>
      </c>
      <c r="AL38" s="9">
        <f t="shared" si="47"/>
        <v>1974.6848000000002</v>
      </c>
      <c r="AM38" s="9">
        <f t="shared" si="52"/>
        <v>1974.6848000000002</v>
      </c>
      <c r="AN38" s="9"/>
      <c r="AO38" s="9"/>
      <c r="AP38" s="9"/>
      <c r="AQ38" s="9"/>
      <c r="AR38" s="9"/>
      <c r="AS38" s="9"/>
      <c r="AT38" s="9">
        <f t="shared" si="48"/>
        <v>0</v>
      </c>
      <c r="AU38" s="9"/>
      <c r="AV38" s="9">
        <f t="shared" si="33"/>
        <v>203.42519999999999</v>
      </c>
      <c r="AW38" s="9">
        <f t="shared" si="53"/>
        <v>2178.11</v>
      </c>
      <c r="AX38" s="9">
        <f t="shared" si="49"/>
        <v>1975</v>
      </c>
      <c r="AY38" s="4">
        <f t="shared" si="21"/>
        <v>45.570000000000022</v>
      </c>
      <c r="AZ38" s="3"/>
      <c r="BA38" s="3"/>
      <c r="BB38" s="4">
        <f t="shared" si="54"/>
        <v>72.230000000000018</v>
      </c>
      <c r="BC38" s="3"/>
      <c r="BD38" s="3"/>
      <c r="BE38" s="3"/>
      <c r="BF38" s="3"/>
      <c r="BG38" s="19">
        <f t="shared" si="22"/>
        <v>56.050000000000026</v>
      </c>
      <c r="BH38" s="19"/>
      <c r="BI38" s="19"/>
      <c r="BJ38" s="19">
        <f t="shared" si="50"/>
        <v>46.740000000000016</v>
      </c>
      <c r="BK38" s="9"/>
      <c r="BL38" s="9"/>
      <c r="BM38" s="9"/>
      <c r="BN38" s="9"/>
      <c r="BO38" s="4"/>
      <c r="BP38" s="9"/>
    </row>
    <row r="39" spans="1:68" x14ac:dyDescent="0.2">
      <c r="A39" s="6"/>
      <c r="B39" s="2" t="s">
        <v>9</v>
      </c>
      <c r="C39" s="4"/>
      <c r="D39" s="3"/>
      <c r="E39" s="3"/>
      <c r="F39" s="3"/>
      <c r="G39" s="9">
        <v>1263.1400000000001</v>
      </c>
      <c r="H39" s="9">
        <v>527.9</v>
      </c>
      <c r="I39" s="9">
        <v>385</v>
      </c>
      <c r="J39" s="12">
        <v>2.0699999999999998</v>
      </c>
      <c r="K39" s="9">
        <v>12.96494</v>
      </c>
      <c r="L39" s="9">
        <v>83.77346</v>
      </c>
      <c r="M39" s="9">
        <f t="shared" si="34"/>
        <v>2178.11</v>
      </c>
      <c r="N39" s="27">
        <f t="shared" si="35"/>
        <v>2178.11</v>
      </c>
      <c r="O39" s="32"/>
      <c r="P39" s="24">
        <f t="shared" si="36"/>
        <v>0</v>
      </c>
      <c r="Q39" s="38"/>
      <c r="R39" s="9"/>
      <c r="S39" s="24">
        <f t="shared" si="37"/>
        <v>0</v>
      </c>
      <c r="T39" s="36"/>
      <c r="U39" s="40"/>
      <c r="V39" s="9">
        <f t="shared" si="38"/>
        <v>0</v>
      </c>
      <c r="W39" s="27">
        <f t="shared" si="39"/>
        <v>0</v>
      </c>
      <c r="X39" s="40"/>
      <c r="Y39" s="45">
        <f t="shared" si="40"/>
        <v>0</v>
      </c>
      <c r="Z39" s="27">
        <f t="shared" si="41"/>
        <v>0</v>
      </c>
      <c r="AA39" s="40"/>
      <c r="AB39" s="45">
        <f t="shared" si="9"/>
        <v>0</v>
      </c>
      <c r="AC39" s="27">
        <f t="shared" si="29"/>
        <v>0</v>
      </c>
      <c r="AD39" s="48"/>
      <c r="AE39" s="9"/>
      <c r="AF39" s="24">
        <f t="shared" si="42"/>
        <v>0</v>
      </c>
      <c r="AG39" s="28">
        <f t="shared" si="51"/>
        <v>2178.11</v>
      </c>
      <c r="AH39" s="9">
        <f t="shared" si="43"/>
        <v>200.15819999999999</v>
      </c>
      <c r="AI39" s="9">
        <f t="shared" si="44"/>
        <v>3.2669999999999999</v>
      </c>
      <c r="AJ39" s="9">
        <f t="shared" si="45"/>
        <v>2178</v>
      </c>
      <c r="AK39" s="9">
        <f t="shared" si="46"/>
        <v>203.42519999999999</v>
      </c>
      <c r="AL39" s="9">
        <f t="shared" si="47"/>
        <v>1974.6848000000002</v>
      </c>
      <c r="AM39" s="9">
        <f t="shared" si="52"/>
        <v>1974.6848000000002</v>
      </c>
      <c r="AN39" s="9"/>
      <c r="AO39" s="9"/>
      <c r="AP39" s="9"/>
      <c r="AQ39" s="9"/>
      <c r="AR39" s="9"/>
      <c r="AS39" s="9"/>
      <c r="AT39" s="9">
        <f t="shared" si="48"/>
        <v>0</v>
      </c>
      <c r="AU39" s="9"/>
      <c r="AV39" s="9">
        <f t="shared" si="33"/>
        <v>203.42519999999999</v>
      </c>
      <c r="AW39" s="9">
        <f t="shared" si="53"/>
        <v>2178.11</v>
      </c>
      <c r="AX39" s="9">
        <f t="shared" si="49"/>
        <v>1975</v>
      </c>
      <c r="AY39" s="4">
        <f t="shared" si="21"/>
        <v>47.740000000000023</v>
      </c>
      <c r="AZ39" s="3"/>
      <c r="BA39" s="3"/>
      <c r="BB39" s="4">
        <f t="shared" si="54"/>
        <v>74.40000000000002</v>
      </c>
      <c r="BC39" s="3"/>
      <c r="BD39" s="3"/>
      <c r="BE39" s="3"/>
      <c r="BF39" s="3"/>
      <c r="BG39" s="19">
        <f t="shared" si="22"/>
        <v>58.720000000000027</v>
      </c>
      <c r="BH39" s="19"/>
      <c r="BI39" s="19"/>
      <c r="BJ39" s="19">
        <f t="shared" si="50"/>
        <v>49.410000000000018</v>
      </c>
      <c r="BK39" s="9"/>
      <c r="BL39" s="9"/>
      <c r="BM39" s="9"/>
      <c r="BN39" s="9"/>
      <c r="BO39" s="4"/>
      <c r="BP39" s="9"/>
    </row>
    <row r="40" spans="1:68" x14ac:dyDescent="0.2">
      <c r="A40" s="6"/>
      <c r="B40" s="2" t="s">
        <v>9</v>
      </c>
      <c r="C40" s="4"/>
      <c r="D40" s="3"/>
      <c r="E40" s="3"/>
      <c r="F40" s="3"/>
      <c r="G40" s="9">
        <v>1263.1400000000001</v>
      </c>
      <c r="H40" s="9">
        <v>527.9</v>
      </c>
      <c r="I40" s="9">
        <v>385</v>
      </c>
      <c r="J40" s="12">
        <v>2.0699999999999998</v>
      </c>
      <c r="K40" s="9">
        <v>12.96494</v>
      </c>
      <c r="L40" s="9">
        <v>83.77346</v>
      </c>
      <c r="M40" s="9">
        <f t="shared" si="34"/>
        <v>2178.11</v>
      </c>
      <c r="N40" s="27">
        <f t="shared" si="35"/>
        <v>2178.11</v>
      </c>
      <c r="O40" s="32"/>
      <c r="P40" s="24">
        <f t="shared" si="36"/>
        <v>0</v>
      </c>
      <c r="Q40" s="38"/>
      <c r="R40" s="9"/>
      <c r="S40" s="24">
        <f t="shared" si="37"/>
        <v>0</v>
      </c>
      <c r="T40" s="36"/>
      <c r="U40" s="40"/>
      <c r="V40" s="9">
        <f t="shared" si="38"/>
        <v>0</v>
      </c>
      <c r="W40" s="27">
        <f t="shared" si="39"/>
        <v>0</v>
      </c>
      <c r="X40" s="40"/>
      <c r="Y40" s="45">
        <f t="shared" si="40"/>
        <v>0</v>
      </c>
      <c r="Z40" s="27">
        <f t="shared" si="41"/>
        <v>0</v>
      </c>
      <c r="AA40" s="40"/>
      <c r="AB40" s="45">
        <f t="shared" si="9"/>
        <v>0</v>
      </c>
      <c r="AC40" s="27">
        <f t="shared" si="29"/>
        <v>0</v>
      </c>
      <c r="AD40" s="48"/>
      <c r="AE40" s="9"/>
      <c r="AF40" s="24">
        <f t="shared" si="42"/>
        <v>0</v>
      </c>
      <c r="AG40" s="28">
        <f t="shared" si="51"/>
        <v>2178.11</v>
      </c>
      <c r="AH40" s="9">
        <f t="shared" si="43"/>
        <v>200.15819999999999</v>
      </c>
      <c r="AI40" s="9">
        <f t="shared" si="44"/>
        <v>3.2669999999999999</v>
      </c>
      <c r="AJ40" s="9">
        <f t="shared" si="45"/>
        <v>2178</v>
      </c>
      <c r="AK40" s="9">
        <f t="shared" si="46"/>
        <v>203.42519999999999</v>
      </c>
      <c r="AL40" s="9">
        <f t="shared" si="47"/>
        <v>1974.6848000000002</v>
      </c>
      <c r="AM40" s="9">
        <f t="shared" si="52"/>
        <v>1974.6848000000002</v>
      </c>
      <c r="AN40" s="9"/>
      <c r="AO40" s="9"/>
      <c r="AP40" s="9"/>
      <c r="AQ40" s="9"/>
      <c r="AR40" s="9"/>
      <c r="AS40" s="9"/>
      <c r="AT40" s="9">
        <f t="shared" si="48"/>
        <v>0</v>
      </c>
      <c r="AU40" s="9"/>
      <c r="AV40" s="9">
        <f t="shared" si="33"/>
        <v>203.42519999999999</v>
      </c>
      <c r="AW40" s="9">
        <f t="shared" si="53"/>
        <v>2178.11</v>
      </c>
      <c r="AX40" s="9">
        <f t="shared" si="49"/>
        <v>1975</v>
      </c>
      <c r="AY40" s="4">
        <f t="shared" si="21"/>
        <v>49.910000000000025</v>
      </c>
      <c r="AZ40" s="3"/>
      <c r="BA40" s="3"/>
      <c r="BB40" s="4">
        <f t="shared" si="54"/>
        <v>76.570000000000022</v>
      </c>
      <c r="BC40" s="3"/>
      <c r="BD40" s="3"/>
      <c r="BE40" s="3"/>
      <c r="BF40" s="3"/>
      <c r="BG40" s="19">
        <f t="shared" si="22"/>
        <v>61.390000000000029</v>
      </c>
      <c r="BH40" s="19"/>
      <c r="BI40" s="19"/>
      <c r="BJ40" s="19">
        <f t="shared" si="50"/>
        <v>52.08000000000002</v>
      </c>
      <c r="BK40" s="9"/>
      <c r="BL40" s="9"/>
      <c r="BM40" s="9"/>
      <c r="BN40" s="9"/>
      <c r="BO40" s="4"/>
      <c r="BP40" s="9"/>
    </row>
    <row r="41" spans="1:68" x14ac:dyDescent="0.2">
      <c r="A41" s="6"/>
      <c r="B41" s="2" t="s">
        <v>9</v>
      </c>
      <c r="C41" s="4"/>
      <c r="D41" s="3"/>
      <c r="E41" s="3"/>
      <c r="F41" s="3"/>
      <c r="G41" s="9">
        <v>1263.1400000000001</v>
      </c>
      <c r="H41" s="9">
        <v>527.9</v>
      </c>
      <c r="I41" s="9">
        <v>385</v>
      </c>
      <c r="J41" s="12">
        <v>2.0699999999999998</v>
      </c>
      <c r="K41" s="9">
        <v>12.96494</v>
      </c>
      <c r="L41" s="9">
        <v>83.77346</v>
      </c>
      <c r="M41" s="9">
        <f t="shared" si="34"/>
        <v>2178.11</v>
      </c>
      <c r="N41" s="27">
        <f t="shared" si="35"/>
        <v>2178.11</v>
      </c>
      <c r="O41" s="32"/>
      <c r="P41" s="24">
        <f t="shared" si="36"/>
        <v>0</v>
      </c>
      <c r="Q41" s="38"/>
      <c r="R41" s="9"/>
      <c r="S41" s="24">
        <f t="shared" si="37"/>
        <v>0</v>
      </c>
      <c r="T41" s="36"/>
      <c r="U41" s="40"/>
      <c r="V41" s="9">
        <f t="shared" si="38"/>
        <v>0</v>
      </c>
      <c r="W41" s="27">
        <f t="shared" si="39"/>
        <v>0</v>
      </c>
      <c r="X41" s="40"/>
      <c r="Y41" s="45">
        <f t="shared" si="40"/>
        <v>0</v>
      </c>
      <c r="Z41" s="27">
        <f t="shared" si="41"/>
        <v>0</v>
      </c>
      <c r="AA41" s="40"/>
      <c r="AB41" s="45">
        <f t="shared" si="9"/>
        <v>0</v>
      </c>
      <c r="AC41" s="27">
        <f t="shared" si="29"/>
        <v>0</v>
      </c>
      <c r="AD41" s="48"/>
      <c r="AE41" s="9"/>
      <c r="AF41" s="24">
        <f t="shared" si="42"/>
        <v>0</v>
      </c>
      <c r="AG41" s="28">
        <f t="shared" si="51"/>
        <v>2178.11</v>
      </c>
      <c r="AH41" s="9">
        <f t="shared" si="43"/>
        <v>200.15819999999999</v>
      </c>
      <c r="AI41" s="9">
        <f t="shared" si="44"/>
        <v>3.2669999999999999</v>
      </c>
      <c r="AJ41" s="9">
        <f t="shared" si="45"/>
        <v>2178</v>
      </c>
      <c r="AK41" s="9">
        <f t="shared" si="46"/>
        <v>203.42519999999999</v>
      </c>
      <c r="AL41" s="9">
        <f t="shared" si="47"/>
        <v>1974.6848000000002</v>
      </c>
      <c r="AM41" s="9">
        <f t="shared" si="52"/>
        <v>1974.6848000000002</v>
      </c>
      <c r="AN41" s="9"/>
      <c r="AO41" s="9"/>
      <c r="AP41" s="9"/>
      <c r="AQ41" s="9"/>
      <c r="AR41" s="9"/>
      <c r="AS41" s="9"/>
      <c r="AT41" s="9">
        <f t="shared" si="48"/>
        <v>0</v>
      </c>
      <c r="AU41" s="9"/>
      <c r="AV41" s="9">
        <f t="shared" si="33"/>
        <v>203.42519999999999</v>
      </c>
      <c r="AW41" s="9">
        <f t="shared" si="53"/>
        <v>2178.11</v>
      </c>
      <c r="AX41" s="9">
        <f t="shared" si="49"/>
        <v>1975</v>
      </c>
      <c r="AY41" s="4">
        <f t="shared" si="21"/>
        <v>52.080000000000027</v>
      </c>
      <c r="AZ41" s="3"/>
      <c r="BA41" s="3"/>
      <c r="BB41" s="4">
        <f t="shared" si="54"/>
        <v>78.740000000000023</v>
      </c>
      <c r="BC41" s="3"/>
      <c r="BD41" s="3"/>
      <c r="BE41" s="3"/>
      <c r="BF41" s="3"/>
      <c r="BG41" s="19">
        <f t="shared" si="22"/>
        <v>64.060000000000031</v>
      </c>
      <c r="BH41" s="19"/>
      <c r="BI41" s="19"/>
      <c r="BJ41" s="19">
        <f t="shared" si="50"/>
        <v>54.750000000000021</v>
      </c>
      <c r="BK41" s="9"/>
      <c r="BL41" s="9"/>
      <c r="BM41" s="9"/>
      <c r="BN41" s="9"/>
      <c r="BO41" s="4"/>
      <c r="BP41" s="9"/>
    </row>
    <row r="42" spans="1:68" x14ac:dyDescent="0.2">
      <c r="A42" s="6"/>
      <c r="B42" s="2" t="s">
        <v>9</v>
      </c>
      <c r="C42" s="4"/>
      <c r="D42" s="3"/>
      <c r="E42" s="3"/>
      <c r="F42" s="3"/>
      <c r="G42" s="9">
        <v>1263.1400000000001</v>
      </c>
      <c r="H42" s="9">
        <v>527.9</v>
      </c>
      <c r="I42" s="9">
        <v>385</v>
      </c>
      <c r="J42" s="12">
        <v>2.0699999999999998</v>
      </c>
      <c r="K42" s="9">
        <v>12.96494</v>
      </c>
      <c r="L42" s="9">
        <v>83.77346</v>
      </c>
      <c r="M42" s="9">
        <f t="shared" si="34"/>
        <v>2178.11</v>
      </c>
      <c r="N42" s="27">
        <f t="shared" si="35"/>
        <v>2178.11</v>
      </c>
      <c r="O42" s="32"/>
      <c r="P42" s="24">
        <f t="shared" si="36"/>
        <v>0</v>
      </c>
      <c r="Q42" s="38"/>
      <c r="R42" s="9"/>
      <c r="S42" s="24">
        <f t="shared" si="37"/>
        <v>0</v>
      </c>
      <c r="T42" s="36"/>
      <c r="U42" s="40"/>
      <c r="V42" s="9">
        <f t="shared" si="38"/>
        <v>0</v>
      </c>
      <c r="W42" s="27">
        <f t="shared" si="39"/>
        <v>0</v>
      </c>
      <c r="X42" s="40"/>
      <c r="Y42" s="45">
        <f t="shared" si="40"/>
        <v>0</v>
      </c>
      <c r="Z42" s="27">
        <f t="shared" si="41"/>
        <v>0</v>
      </c>
      <c r="AA42" s="40"/>
      <c r="AB42" s="45">
        <f t="shared" si="9"/>
        <v>0</v>
      </c>
      <c r="AC42" s="27">
        <f t="shared" si="29"/>
        <v>0</v>
      </c>
      <c r="AD42" s="48"/>
      <c r="AE42" s="9"/>
      <c r="AF42" s="24">
        <f t="shared" si="42"/>
        <v>0</v>
      </c>
      <c r="AG42" s="28">
        <f t="shared" si="51"/>
        <v>2178.11</v>
      </c>
      <c r="AH42" s="9">
        <f t="shared" si="43"/>
        <v>200.15819999999999</v>
      </c>
      <c r="AI42" s="9">
        <f t="shared" si="44"/>
        <v>3.2669999999999999</v>
      </c>
      <c r="AJ42" s="9">
        <f t="shared" si="45"/>
        <v>2178</v>
      </c>
      <c r="AK42" s="9">
        <f t="shared" si="46"/>
        <v>203.42519999999999</v>
      </c>
      <c r="AL42" s="9">
        <f t="shared" si="47"/>
        <v>1974.6848000000002</v>
      </c>
      <c r="AM42" s="9">
        <f t="shared" si="52"/>
        <v>1974.6848000000002</v>
      </c>
      <c r="AN42" s="9"/>
      <c r="AO42" s="9"/>
      <c r="AP42" s="9"/>
      <c r="AQ42" s="9"/>
      <c r="AR42" s="9"/>
      <c r="AS42" s="9"/>
      <c r="AT42" s="9">
        <f t="shared" si="48"/>
        <v>0</v>
      </c>
      <c r="AU42" s="9"/>
      <c r="AV42" s="9">
        <f t="shared" si="33"/>
        <v>203.42519999999999</v>
      </c>
      <c r="AW42" s="9">
        <f t="shared" si="53"/>
        <v>2178.11</v>
      </c>
      <c r="AX42" s="9">
        <f t="shared" si="49"/>
        <v>1975</v>
      </c>
      <c r="AY42" s="4">
        <f t="shared" si="21"/>
        <v>54.250000000000028</v>
      </c>
      <c r="AZ42" s="3"/>
      <c r="BA42" s="3"/>
      <c r="BB42" s="4">
        <f t="shared" si="54"/>
        <v>80.910000000000025</v>
      </c>
      <c r="BC42" s="3"/>
      <c r="BD42" s="3"/>
      <c r="BE42" s="3"/>
      <c r="BF42" s="3"/>
      <c r="BG42" s="19">
        <f t="shared" si="22"/>
        <v>66.730000000000032</v>
      </c>
      <c r="BH42" s="19"/>
      <c r="BI42" s="19"/>
      <c r="BJ42" s="19">
        <f t="shared" si="50"/>
        <v>57.420000000000023</v>
      </c>
      <c r="BK42" s="9"/>
      <c r="BL42" s="9"/>
      <c r="BM42" s="9"/>
      <c r="BN42" s="9"/>
      <c r="BO42" s="4"/>
      <c r="BP42" s="9"/>
    </row>
    <row r="43" spans="1:68" x14ac:dyDescent="0.2">
      <c r="A43" s="6"/>
      <c r="B43" s="2" t="s">
        <v>9</v>
      </c>
      <c r="C43" s="4"/>
      <c r="D43" s="3"/>
      <c r="E43" s="3"/>
      <c r="F43" s="3"/>
      <c r="G43" s="9">
        <v>1263.1400000000001</v>
      </c>
      <c r="H43" s="9">
        <v>527.9</v>
      </c>
      <c r="I43" s="9">
        <v>385</v>
      </c>
      <c r="J43" s="12">
        <v>2.0699999999999998</v>
      </c>
      <c r="K43" s="9">
        <v>12.96494</v>
      </c>
      <c r="L43" s="9">
        <v>83.77346</v>
      </c>
      <c r="M43" s="9">
        <f t="shared" si="34"/>
        <v>2178.11</v>
      </c>
      <c r="N43" s="27">
        <f t="shared" si="35"/>
        <v>2178.11</v>
      </c>
      <c r="O43" s="32"/>
      <c r="P43" s="24">
        <f t="shared" si="36"/>
        <v>0</v>
      </c>
      <c r="Q43" s="38"/>
      <c r="R43" s="9"/>
      <c r="S43" s="24">
        <f t="shared" si="37"/>
        <v>0</v>
      </c>
      <c r="T43" s="36"/>
      <c r="U43" s="40"/>
      <c r="V43" s="9">
        <f t="shared" si="38"/>
        <v>0</v>
      </c>
      <c r="W43" s="27">
        <f t="shared" si="39"/>
        <v>0</v>
      </c>
      <c r="X43" s="40"/>
      <c r="Y43" s="45">
        <f t="shared" si="40"/>
        <v>0</v>
      </c>
      <c r="Z43" s="27">
        <f t="shared" si="41"/>
        <v>0</v>
      </c>
      <c r="AA43" s="40"/>
      <c r="AB43" s="45">
        <f t="shared" si="9"/>
        <v>0</v>
      </c>
      <c r="AC43" s="27">
        <f t="shared" si="29"/>
        <v>0</v>
      </c>
      <c r="AD43" s="48"/>
      <c r="AE43" s="9"/>
      <c r="AF43" s="24">
        <f t="shared" si="42"/>
        <v>0</v>
      </c>
      <c r="AG43" s="28">
        <f t="shared" si="51"/>
        <v>2178.11</v>
      </c>
      <c r="AH43" s="9">
        <f t="shared" si="43"/>
        <v>200.15819999999999</v>
      </c>
      <c r="AI43" s="9">
        <f t="shared" si="44"/>
        <v>3.2669999999999999</v>
      </c>
      <c r="AJ43" s="9">
        <f t="shared" si="45"/>
        <v>2178</v>
      </c>
      <c r="AK43" s="9">
        <f t="shared" si="46"/>
        <v>203.42519999999999</v>
      </c>
      <c r="AL43" s="9">
        <f t="shared" si="47"/>
        <v>1974.6848000000002</v>
      </c>
      <c r="AM43" s="9">
        <f t="shared" si="52"/>
        <v>1974.6848000000002</v>
      </c>
      <c r="AN43" s="9"/>
      <c r="AO43" s="9"/>
      <c r="AP43" s="9"/>
      <c r="AQ43" s="9"/>
      <c r="AR43" s="9"/>
      <c r="AS43" s="9"/>
      <c r="AT43" s="9">
        <f t="shared" si="48"/>
        <v>0</v>
      </c>
      <c r="AU43" s="9"/>
      <c r="AV43" s="9">
        <f t="shared" si="33"/>
        <v>203.42519999999999</v>
      </c>
      <c r="AW43" s="9">
        <f t="shared" si="53"/>
        <v>2178.11</v>
      </c>
      <c r="AX43" s="9">
        <f t="shared" si="49"/>
        <v>1975</v>
      </c>
      <c r="AY43" s="4">
        <f t="shared" si="21"/>
        <v>56.42000000000003</v>
      </c>
      <c r="AZ43" s="3"/>
      <c r="BA43" s="3"/>
      <c r="BB43" s="4">
        <f t="shared" si="54"/>
        <v>83.080000000000027</v>
      </c>
      <c r="BC43" s="3"/>
      <c r="BD43" s="3"/>
      <c r="BE43" s="3"/>
      <c r="BF43" s="3"/>
      <c r="BG43" s="19">
        <f t="shared" si="22"/>
        <v>69.400000000000034</v>
      </c>
      <c r="BH43" s="19"/>
      <c r="BI43" s="19"/>
      <c r="BJ43" s="19">
        <f t="shared" si="50"/>
        <v>60.090000000000025</v>
      </c>
      <c r="BK43" s="9"/>
      <c r="BL43" s="9"/>
      <c r="BM43" s="9"/>
      <c r="BN43" s="9"/>
      <c r="BO43" s="4"/>
      <c r="BP43" s="9"/>
    </row>
    <row r="44" spans="1:68" x14ac:dyDescent="0.2">
      <c r="A44" s="6"/>
      <c r="B44" s="2" t="s">
        <v>9</v>
      </c>
      <c r="C44" s="4"/>
      <c r="D44" s="3"/>
      <c r="E44" s="3"/>
      <c r="F44" s="3"/>
      <c r="G44" s="9">
        <v>1263.1400000000001</v>
      </c>
      <c r="H44" s="9">
        <v>527.9</v>
      </c>
      <c r="I44" s="9">
        <v>385</v>
      </c>
      <c r="J44" s="12">
        <v>2.0699999999999998</v>
      </c>
      <c r="K44" s="9">
        <v>12.96494</v>
      </c>
      <c r="L44" s="9">
        <v>83.77346</v>
      </c>
      <c r="M44" s="9">
        <f t="shared" si="34"/>
        <v>2178.11</v>
      </c>
      <c r="N44" s="27">
        <f t="shared" si="35"/>
        <v>2178.11</v>
      </c>
      <c r="O44" s="32"/>
      <c r="P44" s="24">
        <f t="shared" si="36"/>
        <v>0</v>
      </c>
      <c r="Q44" s="38"/>
      <c r="R44" s="9"/>
      <c r="S44" s="24">
        <f t="shared" si="37"/>
        <v>0</v>
      </c>
      <c r="T44" s="36"/>
      <c r="U44" s="40"/>
      <c r="V44" s="9">
        <f t="shared" si="38"/>
        <v>0</v>
      </c>
      <c r="W44" s="27">
        <f t="shared" si="39"/>
        <v>0</v>
      </c>
      <c r="X44" s="40"/>
      <c r="Y44" s="45">
        <f t="shared" si="40"/>
        <v>0</v>
      </c>
      <c r="Z44" s="27">
        <f t="shared" si="41"/>
        <v>0</v>
      </c>
      <c r="AA44" s="40"/>
      <c r="AB44" s="45">
        <f t="shared" si="9"/>
        <v>0</v>
      </c>
      <c r="AC44" s="27">
        <f t="shared" si="29"/>
        <v>0</v>
      </c>
      <c r="AD44" s="48"/>
      <c r="AE44" s="9"/>
      <c r="AF44" s="24">
        <f t="shared" si="42"/>
        <v>0</v>
      </c>
      <c r="AG44" s="28">
        <f t="shared" si="51"/>
        <v>2178.11</v>
      </c>
      <c r="AH44" s="9">
        <f t="shared" si="43"/>
        <v>200.15819999999999</v>
      </c>
      <c r="AI44" s="9">
        <f t="shared" si="44"/>
        <v>3.2669999999999999</v>
      </c>
      <c r="AJ44" s="9">
        <f t="shared" si="45"/>
        <v>2178</v>
      </c>
      <c r="AK44" s="9">
        <f t="shared" si="46"/>
        <v>203.42519999999999</v>
      </c>
      <c r="AL44" s="9">
        <f t="shared" si="47"/>
        <v>1974.6848000000002</v>
      </c>
      <c r="AM44" s="9">
        <f t="shared" si="52"/>
        <v>1974.6848000000002</v>
      </c>
      <c r="AN44" s="9"/>
      <c r="AO44" s="9"/>
      <c r="AP44" s="9"/>
      <c r="AQ44" s="9"/>
      <c r="AR44" s="9"/>
      <c r="AS44" s="9"/>
      <c r="AT44" s="9">
        <f t="shared" si="48"/>
        <v>0</v>
      </c>
      <c r="AU44" s="9"/>
      <c r="AV44" s="9">
        <f t="shared" si="33"/>
        <v>203.42519999999999</v>
      </c>
      <c r="AW44" s="9">
        <f t="shared" si="53"/>
        <v>2178.11</v>
      </c>
      <c r="AX44" s="9">
        <f t="shared" si="49"/>
        <v>1975</v>
      </c>
      <c r="AY44" s="4">
        <f t="shared" si="21"/>
        <v>58.590000000000032</v>
      </c>
      <c r="AZ44" s="3"/>
      <c r="BA44" s="3"/>
      <c r="BB44" s="4">
        <f t="shared" si="54"/>
        <v>85.250000000000028</v>
      </c>
      <c r="BC44" s="3"/>
      <c r="BD44" s="3"/>
      <c r="BE44" s="3"/>
      <c r="BF44" s="3"/>
      <c r="BG44" s="19">
        <f t="shared" si="22"/>
        <v>72.070000000000036</v>
      </c>
      <c r="BH44" s="19"/>
      <c r="BI44" s="19"/>
      <c r="BJ44" s="19">
        <f t="shared" si="50"/>
        <v>62.760000000000026</v>
      </c>
      <c r="BK44" s="9"/>
      <c r="BL44" s="9"/>
      <c r="BM44" s="9"/>
      <c r="BN44" s="9"/>
      <c r="BO44" s="4"/>
      <c r="BP44" s="9"/>
    </row>
    <row r="45" spans="1:68" x14ac:dyDescent="0.2">
      <c r="A45" s="6"/>
      <c r="B45" s="2" t="s">
        <v>9</v>
      </c>
      <c r="C45" s="4"/>
      <c r="D45" s="3"/>
      <c r="E45" s="3"/>
      <c r="F45" s="3"/>
      <c r="G45" s="9">
        <v>1263.1400000000001</v>
      </c>
      <c r="H45" s="9">
        <v>527.9</v>
      </c>
      <c r="I45" s="9">
        <v>385</v>
      </c>
      <c r="J45" s="12">
        <v>2.0699999999999998</v>
      </c>
      <c r="K45" s="9">
        <v>12.96494</v>
      </c>
      <c r="L45" s="9">
        <v>83.77346</v>
      </c>
      <c r="M45" s="9">
        <f t="shared" si="34"/>
        <v>2178.11</v>
      </c>
      <c r="N45" s="27">
        <f t="shared" si="35"/>
        <v>2178.11</v>
      </c>
      <c r="O45" s="32"/>
      <c r="P45" s="24">
        <f t="shared" si="36"/>
        <v>0</v>
      </c>
      <c r="Q45" s="38"/>
      <c r="R45" s="9"/>
      <c r="S45" s="24">
        <f t="shared" si="37"/>
        <v>0</v>
      </c>
      <c r="T45" s="36"/>
      <c r="U45" s="40"/>
      <c r="V45" s="9">
        <f t="shared" si="38"/>
        <v>0</v>
      </c>
      <c r="W45" s="27">
        <f t="shared" si="39"/>
        <v>0</v>
      </c>
      <c r="X45" s="40"/>
      <c r="Y45" s="45">
        <f t="shared" si="40"/>
        <v>0</v>
      </c>
      <c r="Z45" s="27">
        <f t="shared" si="41"/>
        <v>0</v>
      </c>
      <c r="AA45" s="40"/>
      <c r="AB45" s="45">
        <f t="shared" si="9"/>
        <v>0</v>
      </c>
      <c r="AC45" s="27">
        <f t="shared" si="29"/>
        <v>0</v>
      </c>
      <c r="AD45" s="48"/>
      <c r="AE45" s="9"/>
      <c r="AF45" s="24">
        <f t="shared" si="42"/>
        <v>0</v>
      </c>
      <c r="AG45" s="28">
        <f t="shared" si="51"/>
        <v>2178.11</v>
      </c>
      <c r="AH45" s="9">
        <f t="shared" si="43"/>
        <v>200.15819999999999</v>
      </c>
      <c r="AI45" s="9">
        <f t="shared" si="44"/>
        <v>3.2669999999999999</v>
      </c>
      <c r="AJ45" s="9">
        <f t="shared" si="45"/>
        <v>2178</v>
      </c>
      <c r="AK45" s="9">
        <f t="shared" si="46"/>
        <v>203.42519999999999</v>
      </c>
      <c r="AL45" s="9">
        <f t="shared" si="47"/>
        <v>1974.6848000000002</v>
      </c>
      <c r="AM45" s="9">
        <f t="shared" si="52"/>
        <v>1974.6848000000002</v>
      </c>
      <c r="AN45" s="9"/>
      <c r="AO45" s="9"/>
      <c r="AP45" s="9"/>
      <c r="AQ45" s="9"/>
      <c r="AR45" s="9"/>
      <c r="AS45" s="9"/>
      <c r="AT45" s="9">
        <f t="shared" si="48"/>
        <v>0</v>
      </c>
      <c r="AU45" s="9"/>
      <c r="AV45" s="9">
        <f t="shared" si="33"/>
        <v>203.42519999999999</v>
      </c>
      <c r="AW45" s="9">
        <f>N45+S45+AU45+T45+W45+P45+AC45+Z45</f>
        <v>2178.11</v>
      </c>
      <c r="AX45" s="9">
        <f t="shared" si="49"/>
        <v>1975</v>
      </c>
      <c r="AY45" s="4">
        <f t="shared" si="21"/>
        <v>60.760000000000034</v>
      </c>
      <c r="AZ45" s="3"/>
      <c r="BA45" s="3"/>
      <c r="BB45" s="4">
        <f t="shared" si="54"/>
        <v>87.42000000000003</v>
      </c>
      <c r="BC45" s="3"/>
      <c r="BD45" s="3"/>
      <c r="BE45" s="3"/>
      <c r="BF45" s="3"/>
      <c r="BG45" s="19">
        <f t="shared" si="22"/>
        <v>74.740000000000038</v>
      </c>
      <c r="BH45" s="19"/>
      <c r="BI45" s="19"/>
      <c r="BJ45" s="19">
        <f t="shared" si="50"/>
        <v>65.430000000000021</v>
      </c>
      <c r="BK45" s="9"/>
      <c r="BL45" s="9"/>
      <c r="BM45" s="9"/>
      <c r="BN45" s="9"/>
      <c r="BO45" s="4"/>
      <c r="BP45" s="9"/>
    </row>
    <row r="46" spans="1:68" x14ac:dyDescent="0.2">
      <c r="A46" s="6"/>
      <c r="B46" s="2" t="s">
        <v>9</v>
      </c>
      <c r="C46" s="4"/>
      <c r="D46" s="3"/>
      <c r="E46" s="3"/>
      <c r="F46" s="3"/>
      <c r="G46" s="9">
        <v>1263.1400000000001</v>
      </c>
      <c r="H46" s="9">
        <v>527.9</v>
      </c>
      <c r="I46" s="9">
        <v>385</v>
      </c>
      <c r="J46" s="12">
        <v>2.0699999999999998</v>
      </c>
      <c r="K46" s="9">
        <v>12.96494</v>
      </c>
      <c r="L46" s="9">
        <v>83.77346</v>
      </c>
      <c r="M46" s="9">
        <f t="shared" si="34"/>
        <v>2178.11</v>
      </c>
      <c r="N46" s="27">
        <f t="shared" si="35"/>
        <v>2178.11</v>
      </c>
      <c r="O46" s="32"/>
      <c r="P46" s="24">
        <f t="shared" si="36"/>
        <v>0</v>
      </c>
      <c r="Q46" s="38"/>
      <c r="R46" s="9"/>
      <c r="S46" s="24">
        <f t="shared" si="37"/>
        <v>0</v>
      </c>
      <c r="T46" s="36"/>
      <c r="U46" s="40"/>
      <c r="V46" s="9">
        <f t="shared" si="38"/>
        <v>0</v>
      </c>
      <c r="W46" s="27">
        <f t="shared" si="39"/>
        <v>0</v>
      </c>
      <c r="X46" s="40"/>
      <c r="Y46" s="45">
        <f t="shared" si="40"/>
        <v>0</v>
      </c>
      <c r="Z46" s="27">
        <f t="shared" si="41"/>
        <v>0</v>
      </c>
      <c r="AA46" s="40"/>
      <c r="AB46" s="45">
        <f t="shared" si="9"/>
        <v>0</v>
      </c>
      <c r="AC46" s="27">
        <f t="shared" si="29"/>
        <v>0</v>
      </c>
      <c r="AD46" s="48"/>
      <c r="AE46" s="9"/>
      <c r="AF46" s="24">
        <f t="shared" si="42"/>
        <v>0</v>
      </c>
      <c r="AG46" s="28">
        <f t="shared" si="51"/>
        <v>2178.11</v>
      </c>
      <c r="AH46" s="9">
        <f t="shared" si="43"/>
        <v>200.15819999999999</v>
      </c>
      <c r="AI46" s="9">
        <f t="shared" si="44"/>
        <v>3.2669999999999999</v>
      </c>
      <c r="AJ46" s="9">
        <f t="shared" si="45"/>
        <v>2178</v>
      </c>
      <c r="AK46" s="9">
        <f t="shared" si="46"/>
        <v>203.42519999999999</v>
      </c>
      <c r="AL46" s="9">
        <f t="shared" si="47"/>
        <v>1974.6848000000002</v>
      </c>
      <c r="AM46" s="9">
        <f t="shared" si="52"/>
        <v>1974.6848000000002</v>
      </c>
      <c r="AN46" s="9"/>
      <c r="AO46" s="9"/>
      <c r="AP46" s="9"/>
      <c r="AQ46" s="9"/>
      <c r="AR46" s="9"/>
      <c r="AS46" s="9"/>
      <c r="AT46" s="9">
        <f t="shared" si="48"/>
        <v>0</v>
      </c>
      <c r="AU46" s="9"/>
      <c r="AV46" s="9">
        <f t="shared" si="33"/>
        <v>203.42519999999999</v>
      </c>
      <c r="AW46" s="9">
        <f t="shared" si="53"/>
        <v>2178.11</v>
      </c>
      <c r="AX46" s="9">
        <f t="shared" si="49"/>
        <v>1975</v>
      </c>
      <c r="AY46" s="4">
        <f t="shared" si="21"/>
        <v>62.930000000000035</v>
      </c>
      <c r="AZ46" s="3"/>
      <c r="BA46" s="3"/>
      <c r="BB46" s="4">
        <f t="shared" si="54"/>
        <v>89.590000000000032</v>
      </c>
      <c r="BC46" s="3"/>
      <c r="BD46" s="3"/>
      <c r="BE46" s="3"/>
      <c r="BF46" s="3"/>
      <c r="BG46" s="19">
        <f t="shared" si="22"/>
        <v>77.410000000000039</v>
      </c>
      <c r="BH46" s="19"/>
      <c r="BI46" s="19"/>
      <c r="BJ46" s="19">
        <f t="shared" si="50"/>
        <v>68.100000000000023</v>
      </c>
      <c r="BK46" s="9"/>
      <c r="BL46" s="9"/>
      <c r="BM46" s="9"/>
      <c r="BN46" s="9"/>
      <c r="BO46" s="4"/>
      <c r="BP46" s="9"/>
    </row>
    <row r="47" spans="1:68" x14ac:dyDescent="0.2">
      <c r="A47" s="6"/>
      <c r="B47" s="2" t="s">
        <v>9</v>
      </c>
      <c r="C47" s="4"/>
      <c r="D47" s="3"/>
      <c r="E47" s="3"/>
      <c r="F47" s="3"/>
      <c r="G47" s="9">
        <v>1263.1400000000001</v>
      </c>
      <c r="H47" s="9">
        <v>527.9</v>
      </c>
      <c r="I47" s="9">
        <v>385</v>
      </c>
      <c r="J47" s="12">
        <v>2.0699999999999998</v>
      </c>
      <c r="K47" s="9">
        <v>12.96494</v>
      </c>
      <c r="L47" s="9">
        <v>83.77346</v>
      </c>
      <c r="M47" s="9">
        <f t="shared" si="34"/>
        <v>2178.11</v>
      </c>
      <c r="N47" s="27">
        <f t="shared" si="35"/>
        <v>2178.11</v>
      </c>
      <c r="O47" s="32"/>
      <c r="P47" s="24">
        <f t="shared" si="36"/>
        <v>0</v>
      </c>
      <c r="Q47" s="38"/>
      <c r="R47" s="9"/>
      <c r="S47" s="24">
        <f t="shared" si="37"/>
        <v>0</v>
      </c>
      <c r="T47" s="36"/>
      <c r="U47" s="40"/>
      <c r="V47" s="9">
        <f t="shared" si="38"/>
        <v>0</v>
      </c>
      <c r="W47" s="27">
        <f t="shared" si="39"/>
        <v>0</v>
      </c>
      <c r="X47" s="40"/>
      <c r="Y47" s="45">
        <f t="shared" si="40"/>
        <v>0</v>
      </c>
      <c r="Z47" s="27">
        <f t="shared" si="41"/>
        <v>0</v>
      </c>
      <c r="AA47" s="40"/>
      <c r="AB47" s="45">
        <f t="shared" si="9"/>
        <v>0</v>
      </c>
      <c r="AC47" s="27">
        <f t="shared" si="29"/>
        <v>0</v>
      </c>
      <c r="AD47" s="48"/>
      <c r="AE47" s="9"/>
      <c r="AF47" s="24">
        <f t="shared" si="42"/>
        <v>0</v>
      </c>
      <c r="AG47" s="28">
        <f t="shared" si="51"/>
        <v>2178.11</v>
      </c>
      <c r="AH47" s="9">
        <f t="shared" si="43"/>
        <v>200.15819999999999</v>
      </c>
      <c r="AI47" s="9">
        <f t="shared" si="44"/>
        <v>3.2669999999999999</v>
      </c>
      <c r="AJ47" s="9">
        <f t="shared" si="45"/>
        <v>2178</v>
      </c>
      <c r="AK47" s="9">
        <f t="shared" si="46"/>
        <v>203.42519999999999</v>
      </c>
      <c r="AL47" s="9">
        <f t="shared" si="47"/>
        <v>1974.6848000000002</v>
      </c>
      <c r="AM47" s="9">
        <f t="shared" si="52"/>
        <v>1974.6848000000002</v>
      </c>
      <c r="AN47" s="9"/>
      <c r="AO47" s="9"/>
      <c r="AP47" s="9"/>
      <c r="AQ47" s="9"/>
      <c r="AR47" s="9"/>
      <c r="AS47" s="9"/>
      <c r="AT47" s="9">
        <f t="shared" si="48"/>
        <v>0</v>
      </c>
      <c r="AU47" s="9"/>
      <c r="AV47" s="9">
        <f t="shared" si="33"/>
        <v>203.42519999999999</v>
      </c>
      <c r="AW47" s="9">
        <f t="shared" si="53"/>
        <v>2178.11</v>
      </c>
      <c r="AX47" s="9">
        <f t="shared" si="49"/>
        <v>1975</v>
      </c>
      <c r="AY47" s="4">
        <f t="shared" si="21"/>
        <v>65.100000000000037</v>
      </c>
      <c r="AZ47" s="3"/>
      <c r="BA47" s="3"/>
      <c r="BB47" s="4">
        <f t="shared" si="54"/>
        <v>91.760000000000034</v>
      </c>
      <c r="BC47" s="3"/>
      <c r="BD47" s="3"/>
      <c r="BE47" s="3"/>
      <c r="BF47" s="3"/>
      <c r="BG47" s="19">
        <f t="shared" si="22"/>
        <v>80.080000000000041</v>
      </c>
      <c r="BH47" s="19"/>
      <c r="BI47" s="19"/>
      <c r="BJ47" s="19">
        <f t="shared" si="50"/>
        <v>70.770000000000024</v>
      </c>
      <c r="BK47" s="9"/>
      <c r="BL47" s="9"/>
      <c r="BM47" s="9"/>
      <c r="BN47" s="9"/>
      <c r="BO47" s="4"/>
      <c r="BP47" s="9"/>
    </row>
    <row r="48" spans="1:68" x14ac:dyDescent="0.2">
      <c r="A48" s="6"/>
      <c r="B48" s="2" t="s">
        <v>9</v>
      </c>
      <c r="C48" s="4"/>
      <c r="D48" s="3"/>
      <c r="E48" s="3"/>
      <c r="F48" s="3"/>
      <c r="G48" s="9">
        <v>1263.1400000000001</v>
      </c>
      <c r="H48" s="9">
        <v>527.9</v>
      </c>
      <c r="I48" s="9">
        <v>385</v>
      </c>
      <c r="J48" s="12">
        <v>2.0699999999999998</v>
      </c>
      <c r="K48" s="9">
        <v>12.96494</v>
      </c>
      <c r="L48" s="9">
        <v>83.77346</v>
      </c>
      <c r="M48" s="9">
        <f t="shared" si="34"/>
        <v>2178.11</v>
      </c>
      <c r="N48" s="27">
        <f t="shared" si="35"/>
        <v>2178.11</v>
      </c>
      <c r="O48" s="32"/>
      <c r="P48" s="24">
        <f t="shared" si="36"/>
        <v>0</v>
      </c>
      <c r="Q48" s="38"/>
      <c r="R48" s="9"/>
      <c r="S48" s="24">
        <f t="shared" si="37"/>
        <v>0</v>
      </c>
      <c r="T48" s="36"/>
      <c r="U48" s="40"/>
      <c r="V48" s="9">
        <f t="shared" si="38"/>
        <v>0</v>
      </c>
      <c r="W48" s="27">
        <f t="shared" si="39"/>
        <v>0</v>
      </c>
      <c r="X48" s="40"/>
      <c r="Y48" s="45">
        <f t="shared" si="40"/>
        <v>0</v>
      </c>
      <c r="Z48" s="27">
        <f t="shared" si="41"/>
        <v>0</v>
      </c>
      <c r="AA48" s="40"/>
      <c r="AB48" s="45">
        <f t="shared" si="9"/>
        <v>0</v>
      </c>
      <c r="AC48" s="27">
        <f t="shared" si="29"/>
        <v>0</v>
      </c>
      <c r="AD48" s="48"/>
      <c r="AE48" s="9"/>
      <c r="AF48" s="24">
        <f t="shared" si="42"/>
        <v>0</v>
      </c>
      <c r="AG48" s="28">
        <f t="shared" si="51"/>
        <v>2178.11</v>
      </c>
      <c r="AH48" s="9">
        <f t="shared" si="43"/>
        <v>200.15819999999999</v>
      </c>
      <c r="AI48" s="9">
        <f t="shared" si="44"/>
        <v>3.2669999999999999</v>
      </c>
      <c r="AJ48" s="9">
        <f t="shared" si="45"/>
        <v>2178</v>
      </c>
      <c r="AK48" s="9">
        <f t="shared" si="46"/>
        <v>203.42519999999999</v>
      </c>
      <c r="AL48" s="9">
        <f t="shared" si="47"/>
        <v>1974.6848000000002</v>
      </c>
      <c r="AM48" s="9">
        <f t="shared" si="52"/>
        <v>1974.6848000000002</v>
      </c>
      <c r="AN48" s="9"/>
      <c r="AO48" s="9"/>
      <c r="AP48" s="9"/>
      <c r="AQ48" s="9"/>
      <c r="AR48" s="9"/>
      <c r="AS48" s="9"/>
      <c r="AT48" s="9">
        <f t="shared" si="48"/>
        <v>0</v>
      </c>
      <c r="AU48" s="9"/>
      <c r="AV48" s="9">
        <f t="shared" si="33"/>
        <v>203.42519999999999</v>
      </c>
      <c r="AW48" s="9">
        <f t="shared" si="53"/>
        <v>2178.11</v>
      </c>
      <c r="AX48" s="9">
        <f t="shared" si="49"/>
        <v>1975</v>
      </c>
      <c r="AY48" s="4">
        <f t="shared" si="21"/>
        <v>67.270000000000039</v>
      </c>
      <c r="AZ48" s="3"/>
      <c r="BA48" s="3"/>
      <c r="BB48" s="4">
        <f t="shared" si="54"/>
        <v>93.930000000000035</v>
      </c>
      <c r="BC48" s="3"/>
      <c r="BD48" s="3"/>
      <c r="BE48" s="3"/>
      <c r="BF48" s="3"/>
      <c r="BG48" s="19">
        <f t="shared" si="22"/>
        <v>82.750000000000043</v>
      </c>
      <c r="BH48" s="19"/>
      <c r="BI48" s="19"/>
      <c r="BJ48" s="19">
        <f t="shared" si="50"/>
        <v>73.440000000000026</v>
      </c>
      <c r="BK48" s="9"/>
      <c r="BL48" s="9"/>
      <c r="BM48" s="9"/>
      <c r="BN48" s="9"/>
      <c r="BO48" s="4"/>
      <c r="BP48" s="9"/>
    </row>
    <row r="49" spans="1:68" x14ac:dyDescent="0.2">
      <c r="A49" s="6"/>
      <c r="B49" s="2" t="s">
        <v>9</v>
      </c>
      <c r="C49" s="4"/>
      <c r="D49" s="3"/>
      <c r="E49" s="3"/>
      <c r="F49" s="3"/>
      <c r="G49" s="9">
        <v>1263.1400000000001</v>
      </c>
      <c r="H49" s="9">
        <v>527.9</v>
      </c>
      <c r="I49" s="9">
        <v>385</v>
      </c>
      <c r="J49" s="12">
        <v>2.0699999999999998</v>
      </c>
      <c r="K49" s="9">
        <v>12.96494</v>
      </c>
      <c r="L49" s="9">
        <v>83.77346</v>
      </c>
      <c r="M49" s="9">
        <f t="shared" si="34"/>
        <v>2178.11</v>
      </c>
      <c r="N49" s="27">
        <f t="shared" si="35"/>
        <v>2178.11</v>
      </c>
      <c r="O49" s="32"/>
      <c r="P49" s="24">
        <f t="shared" si="36"/>
        <v>0</v>
      </c>
      <c r="Q49" s="38"/>
      <c r="R49" s="9"/>
      <c r="S49" s="24">
        <f t="shared" si="37"/>
        <v>0</v>
      </c>
      <c r="T49" s="36"/>
      <c r="U49" s="40"/>
      <c r="V49" s="9">
        <f t="shared" si="38"/>
        <v>0</v>
      </c>
      <c r="W49" s="27">
        <f t="shared" si="39"/>
        <v>0</v>
      </c>
      <c r="X49" s="40"/>
      <c r="Y49" s="45">
        <f t="shared" si="40"/>
        <v>0</v>
      </c>
      <c r="Z49" s="27">
        <f t="shared" si="41"/>
        <v>0</v>
      </c>
      <c r="AA49" s="40"/>
      <c r="AB49" s="45">
        <f t="shared" si="9"/>
        <v>0</v>
      </c>
      <c r="AC49" s="27">
        <f t="shared" si="29"/>
        <v>0</v>
      </c>
      <c r="AD49" s="48"/>
      <c r="AE49" s="9"/>
      <c r="AF49" s="24">
        <f t="shared" si="42"/>
        <v>0</v>
      </c>
      <c r="AG49" s="28">
        <f t="shared" si="51"/>
        <v>2178.11</v>
      </c>
      <c r="AH49" s="9">
        <f t="shared" si="43"/>
        <v>200.15819999999999</v>
      </c>
      <c r="AI49" s="9">
        <f t="shared" si="44"/>
        <v>3.2669999999999999</v>
      </c>
      <c r="AJ49" s="9">
        <f t="shared" si="45"/>
        <v>2178</v>
      </c>
      <c r="AK49" s="9">
        <f t="shared" si="46"/>
        <v>203.42519999999999</v>
      </c>
      <c r="AL49" s="9">
        <f t="shared" si="47"/>
        <v>1974.6848000000002</v>
      </c>
      <c r="AM49" s="9">
        <f t="shared" si="52"/>
        <v>1974.6848000000002</v>
      </c>
      <c r="AN49" s="9"/>
      <c r="AO49" s="9"/>
      <c r="AP49" s="9"/>
      <c r="AQ49" s="9"/>
      <c r="AR49" s="9"/>
      <c r="AS49" s="9"/>
      <c r="AT49" s="9">
        <f t="shared" si="48"/>
        <v>0</v>
      </c>
      <c r="AU49" s="9"/>
      <c r="AV49" s="9">
        <f t="shared" si="33"/>
        <v>203.42519999999999</v>
      </c>
      <c r="AW49" s="9">
        <f t="shared" si="53"/>
        <v>2178.11</v>
      </c>
      <c r="AX49" s="9">
        <f t="shared" si="49"/>
        <v>1975</v>
      </c>
      <c r="AY49" s="4">
        <f t="shared" si="21"/>
        <v>69.44000000000004</v>
      </c>
      <c r="AZ49" s="3"/>
      <c r="BA49" s="3"/>
      <c r="BB49" s="4">
        <f t="shared" si="54"/>
        <v>96.100000000000037</v>
      </c>
      <c r="BC49" s="3"/>
      <c r="BD49" s="3"/>
      <c r="BE49" s="3"/>
      <c r="BF49" s="3"/>
      <c r="BG49" s="19">
        <f t="shared" si="22"/>
        <v>85.420000000000044</v>
      </c>
      <c r="BH49" s="19"/>
      <c r="BI49" s="19"/>
      <c r="BJ49" s="19">
        <f t="shared" si="50"/>
        <v>76.110000000000028</v>
      </c>
      <c r="BK49" s="9"/>
      <c r="BL49" s="9"/>
      <c r="BM49" s="9"/>
      <c r="BN49" s="9"/>
      <c r="BO49" s="4"/>
      <c r="BP49" s="9"/>
    </row>
    <row r="50" spans="1:68" x14ac:dyDescent="0.2">
      <c r="A50" s="6"/>
      <c r="B50" s="2" t="s">
        <v>9</v>
      </c>
      <c r="C50" s="4"/>
      <c r="D50" s="3"/>
      <c r="E50" s="3"/>
      <c r="F50" s="3"/>
      <c r="G50" s="9">
        <v>1263.1400000000001</v>
      </c>
      <c r="H50" s="9">
        <v>527.9</v>
      </c>
      <c r="I50" s="9">
        <v>385</v>
      </c>
      <c r="J50" s="12">
        <v>2.0699999999999998</v>
      </c>
      <c r="K50" s="9">
        <v>12.96494</v>
      </c>
      <c r="L50" s="9">
        <v>83.77346</v>
      </c>
      <c r="M50" s="9">
        <f t="shared" si="34"/>
        <v>2178.11</v>
      </c>
      <c r="N50" s="27">
        <f t="shared" si="35"/>
        <v>2178.11</v>
      </c>
      <c r="O50" s="32"/>
      <c r="P50" s="24">
        <f t="shared" si="36"/>
        <v>0</v>
      </c>
      <c r="Q50" s="38"/>
      <c r="R50" s="9"/>
      <c r="S50" s="24">
        <f t="shared" si="37"/>
        <v>0</v>
      </c>
      <c r="T50" s="36"/>
      <c r="U50" s="40"/>
      <c r="V50" s="9">
        <f t="shared" si="38"/>
        <v>0</v>
      </c>
      <c r="W50" s="27">
        <f t="shared" si="39"/>
        <v>0</v>
      </c>
      <c r="X50" s="40"/>
      <c r="Y50" s="45">
        <f t="shared" si="40"/>
        <v>0</v>
      </c>
      <c r="Z50" s="27">
        <f t="shared" si="41"/>
        <v>0</v>
      </c>
      <c r="AA50" s="40"/>
      <c r="AB50" s="45">
        <f t="shared" si="9"/>
        <v>0</v>
      </c>
      <c r="AC50" s="27">
        <f t="shared" si="29"/>
        <v>0</v>
      </c>
      <c r="AD50" s="48"/>
      <c r="AE50" s="9"/>
      <c r="AF50" s="24">
        <f t="shared" si="42"/>
        <v>0</v>
      </c>
      <c r="AG50" s="28">
        <f t="shared" si="51"/>
        <v>2178.11</v>
      </c>
      <c r="AH50" s="9">
        <f t="shared" si="43"/>
        <v>200.15819999999999</v>
      </c>
      <c r="AI50" s="9">
        <f t="shared" si="44"/>
        <v>3.2669999999999999</v>
      </c>
      <c r="AJ50" s="9">
        <f t="shared" si="45"/>
        <v>2178</v>
      </c>
      <c r="AK50" s="9">
        <f t="shared" si="46"/>
        <v>203.42519999999999</v>
      </c>
      <c r="AL50" s="9">
        <f t="shared" si="47"/>
        <v>1974.6848000000002</v>
      </c>
      <c r="AM50" s="9">
        <f t="shared" si="52"/>
        <v>1974.6848000000002</v>
      </c>
      <c r="AN50" s="9"/>
      <c r="AO50" s="9"/>
      <c r="AP50" s="9"/>
      <c r="AQ50" s="9"/>
      <c r="AR50" s="9"/>
      <c r="AS50" s="9"/>
      <c r="AT50" s="9">
        <f t="shared" si="48"/>
        <v>0</v>
      </c>
      <c r="AU50" s="9"/>
      <c r="AV50" s="9">
        <f t="shared" si="33"/>
        <v>203.42519999999999</v>
      </c>
      <c r="AW50" s="9">
        <f t="shared" si="53"/>
        <v>2178.11</v>
      </c>
      <c r="AX50" s="9">
        <f t="shared" si="49"/>
        <v>1975</v>
      </c>
      <c r="AY50" s="4">
        <f t="shared" si="21"/>
        <v>71.610000000000042</v>
      </c>
      <c r="AZ50" s="3"/>
      <c r="BA50" s="3"/>
      <c r="BB50" s="4">
        <f t="shared" si="54"/>
        <v>98.270000000000039</v>
      </c>
      <c r="BC50" s="3"/>
      <c r="BD50" s="3"/>
      <c r="BE50" s="3"/>
      <c r="BF50" s="3"/>
      <c r="BG50" s="19">
        <f t="shared" si="22"/>
        <v>88.090000000000046</v>
      </c>
      <c r="BH50" s="19"/>
      <c r="BI50" s="19"/>
      <c r="BJ50" s="19">
        <f t="shared" si="50"/>
        <v>78.78000000000003</v>
      </c>
      <c r="BK50" s="9"/>
      <c r="BL50" s="9"/>
      <c r="BM50" s="9"/>
      <c r="BN50" s="9"/>
      <c r="BO50" s="4"/>
      <c r="BP50" s="9"/>
    </row>
    <row r="51" spans="1:68" x14ac:dyDescent="0.2">
      <c r="A51" s="6"/>
      <c r="B51" s="2" t="s">
        <v>9</v>
      </c>
      <c r="C51" s="4"/>
      <c r="D51" s="3"/>
      <c r="E51" s="3"/>
      <c r="F51" s="3"/>
      <c r="G51" s="9">
        <v>1263.1400000000001</v>
      </c>
      <c r="H51" s="9">
        <v>527.9</v>
      </c>
      <c r="I51" s="9">
        <v>385</v>
      </c>
      <c r="J51" s="12">
        <v>2.0699999999999998</v>
      </c>
      <c r="K51" s="9">
        <v>12.96494</v>
      </c>
      <c r="L51" s="9">
        <v>83.77346</v>
      </c>
      <c r="M51" s="9">
        <f t="shared" si="34"/>
        <v>2178.11</v>
      </c>
      <c r="N51" s="27">
        <f t="shared" si="35"/>
        <v>2178.11</v>
      </c>
      <c r="O51" s="32"/>
      <c r="P51" s="24">
        <f t="shared" si="36"/>
        <v>0</v>
      </c>
      <c r="Q51" s="38"/>
      <c r="R51" s="9"/>
      <c r="S51" s="24">
        <f t="shared" si="37"/>
        <v>0</v>
      </c>
      <c r="T51" s="36"/>
      <c r="U51" s="40"/>
      <c r="V51" s="9">
        <f t="shared" si="38"/>
        <v>0</v>
      </c>
      <c r="W51" s="27">
        <f t="shared" si="39"/>
        <v>0</v>
      </c>
      <c r="X51" s="40"/>
      <c r="Y51" s="45">
        <f t="shared" si="40"/>
        <v>0</v>
      </c>
      <c r="Z51" s="27">
        <f t="shared" si="41"/>
        <v>0</v>
      </c>
      <c r="AA51" s="40"/>
      <c r="AB51" s="45">
        <f t="shared" si="9"/>
        <v>0</v>
      </c>
      <c r="AC51" s="27">
        <f t="shared" si="29"/>
        <v>0</v>
      </c>
      <c r="AD51" s="48"/>
      <c r="AE51" s="9"/>
      <c r="AF51" s="24">
        <f t="shared" si="42"/>
        <v>0</v>
      </c>
      <c r="AG51" s="28">
        <f t="shared" si="51"/>
        <v>2178.11</v>
      </c>
      <c r="AH51" s="9">
        <f t="shared" si="43"/>
        <v>200.15819999999999</v>
      </c>
      <c r="AI51" s="9">
        <f t="shared" si="44"/>
        <v>3.2669999999999999</v>
      </c>
      <c r="AJ51" s="9">
        <f t="shared" si="45"/>
        <v>2178</v>
      </c>
      <c r="AK51" s="9">
        <f t="shared" si="46"/>
        <v>203.42519999999999</v>
      </c>
      <c r="AL51" s="9">
        <f t="shared" si="47"/>
        <v>1974.6848000000002</v>
      </c>
      <c r="AM51" s="9">
        <f t="shared" si="52"/>
        <v>1974.6848000000002</v>
      </c>
      <c r="AN51" s="9"/>
      <c r="AO51" s="9"/>
      <c r="AP51" s="9"/>
      <c r="AQ51" s="9"/>
      <c r="AR51" s="9"/>
      <c r="AS51" s="9"/>
      <c r="AT51" s="9">
        <f t="shared" si="48"/>
        <v>0</v>
      </c>
      <c r="AU51" s="9"/>
      <c r="AV51" s="9">
        <f t="shared" si="33"/>
        <v>203.42519999999999</v>
      </c>
      <c r="AW51" s="9">
        <f t="shared" si="53"/>
        <v>2178.11</v>
      </c>
      <c r="AX51" s="9">
        <f t="shared" si="49"/>
        <v>1975</v>
      </c>
      <c r="AY51" s="4">
        <f t="shared" si="21"/>
        <v>73.780000000000044</v>
      </c>
      <c r="AZ51" s="3"/>
      <c r="BA51" s="3"/>
      <c r="BB51" s="4">
        <f t="shared" si="54"/>
        <v>100.44000000000004</v>
      </c>
      <c r="BC51" s="3"/>
      <c r="BD51" s="3"/>
      <c r="BE51" s="3"/>
      <c r="BF51" s="3"/>
      <c r="BG51" s="19">
        <f t="shared" si="22"/>
        <v>90.760000000000048</v>
      </c>
      <c r="BH51" s="19"/>
      <c r="BI51" s="19"/>
      <c r="BJ51" s="19">
        <f t="shared" si="50"/>
        <v>81.450000000000031</v>
      </c>
      <c r="BK51" s="9"/>
      <c r="BL51" s="9"/>
      <c r="BM51" s="9"/>
      <c r="BN51" s="9"/>
      <c r="BO51" s="4"/>
      <c r="BP51" s="9"/>
    </row>
    <row r="52" spans="1:68" x14ac:dyDescent="0.2">
      <c r="A52" s="6"/>
      <c r="B52" s="2" t="s">
        <v>9</v>
      </c>
      <c r="C52" s="4"/>
      <c r="D52" s="3"/>
      <c r="E52" s="3"/>
      <c r="F52" s="3"/>
      <c r="G52" s="9">
        <v>1263.1400000000001</v>
      </c>
      <c r="H52" s="9">
        <v>527.9</v>
      </c>
      <c r="I52" s="9">
        <v>385</v>
      </c>
      <c r="J52" s="12">
        <v>2.0699999999999998</v>
      </c>
      <c r="K52" s="9">
        <v>12.96494</v>
      </c>
      <c r="L52" s="9">
        <v>83.77346</v>
      </c>
      <c r="M52" s="9">
        <f t="shared" si="34"/>
        <v>2178.11</v>
      </c>
      <c r="N52" s="27">
        <f t="shared" si="35"/>
        <v>2178.11</v>
      </c>
      <c r="O52" s="32"/>
      <c r="P52" s="24">
        <f t="shared" si="36"/>
        <v>0</v>
      </c>
      <c r="Q52" s="38"/>
      <c r="R52" s="9"/>
      <c r="S52" s="24">
        <f t="shared" si="37"/>
        <v>0</v>
      </c>
      <c r="T52" s="36"/>
      <c r="U52" s="40"/>
      <c r="V52" s="9">
        <f t="shared" si="38"/>
        <v>0</v>
      </c>
      <c r="W52" s="27">
        <f t="shared" si="39"/>
        <v>0</v>
      </c>
      <c r="X52" s="40"/>
      <c r="Y52" s="45">
        <f t="shared" si="40"/>
        <v>0</v>
      </c>
      <c r="Z52" s="27">
        <f t="shared" si="41"/>
        <v>0</v>
      </c>
      <c r="AA52" s="40"/>
      <c r="AB52" s="45">
        <f t="shared" si="9"/>
        <v>0</v>
      </c>
      <c r="AC52" s="27">
        <f t="shared" si="29"/>
        <v>0</v>
      </c>
      <c r="AD52" s="48"/>
      <c r="AE52" s="9"/>
      <c r="AF52" s="24">
        <f t="shared" si="42"/>
        <v>0</v>
      </c>
      <c r="AG52" s="28">
        <f t="shared" si="51"/>
        <v>2178.11</v>
      </c>
      <c r="AH52" s="9">
        <f t="shared" si="43"/>
        <v>200.15819999999999</v>
      </c>
      <c r="AI52" s="9">
        <f t="shared" si="44"/>
        <v>3.2669999999999999</v>
      </c>
      <c r="AJ52" s="9">
        <f t="shared" si="45"/>
        <v>2178</v>
      </c>
      <c r="AK52" s="9">
        <f t="shared" si="46"/>
        <v>203.42519999999999</v>
      </c>
      <c r="AL52" s="9">
        <f t="shared" si="47"/>
        <v>1974.6848000000002</v>
      </c>
      <c r="AM52" s="9">
        <f t="shared" si="52"/>
        <v>1974.6848000000002</v>
      </c>
      <c r="AN52" s="9"/>
      <c r="AO52" s="9"/>
      <c r="AP52" s="9"/>
      <c r="AQ52" s="9"/>
      <c r="AR52" s="9"/>
      <c r="AS52" s="9"/>
      <c r="AT52" s="9">
        <f t="shared" si="48"/>
        <v>0</v>
      </c>
      <c r="AU52" s="9"/>
      <c r="AV52" s="9">
        <f t="shared" si="33"/>
        <v>203.42519999999999</v>
      </c>
      <c r="AW52" s="9">
        <f t="shared" si="53"/>
        <v>2178.11</v>
      </c>
      <c r="AX52" s="9">
        <f t="shared" si="49"/>
        <v>1975</v>
      </c>
      <c r="AY52" s="4">
        <f t="shared" si="21"/>
        <v>75.950000000000045</v>
      </c>
      <c r="AZ52" s="3"/>
      <c r="BA52" s="3"/>
      <c r="BB52" s="4">
        <f t="shared" si="54"/>
        <v>102.61000000000004</v>
      </c>
      <c r="BC52" s="3"/>
      <c r="BD52" s="3"/>
      <c r="BE52" s="3"/>
      <c r="BF52" s="3"/>
      <c r="BG52" s="19">
        <f t="shared" si="22"/>
        <v>93.430000000000049</v>
      </c>
      <c r="BH52" s="19"/>
      <c r="BI52" s="19"/>
      <c r="BJ52" s="19">
        <f t="shared" si="50"/>
        <v>84.120000000000033</v>
      </c>
      <c r="BK52" s="9"/>
      <c r="BL52" s="9"/>
      <c r="BM52" s="9"/>
      <c r="BN52" s="9"/>
      <c r="BO52" s="4"/>
      <c r="BP52" s="9"/>
    </row>
    <row r="53" spans="1:68" x14ac:dyDescent="0.2">
      <c r="A53" s="6"/>
      <c r="B53" s="2" t="s">
        <v>9</v>
      </c>
      <c r="C53" s="4"/>
      <c r="D53" s="3"/>
      <c r="E53" s="3"/>
      <c r="F53" s="3"/>
      <c r="G53" s="9">
        <v>1263.1400000000001</v>
      </c>
      <c r="H53" s="9">
        <v>527.9</v>
      </c>
      <c r="I53" s="9">
        <v>385</v>
      </c>
      <c r="J53" s="12">
        <v>2.0699999999999998</v>
      </c>
      <c r="K53" s="9">
        <v>12.96494</v>
      </c>
      <c r="L53" s="9">
        <v>83.77346</v>
      </c>
      <c r="M53" s="9">
        <f t="shared" si="34"/>
        <v>2178.11</v>
      </c>
      <c r="N53" s="27">
        <f t="shared" si="35"/>
        <v>2178.11</v>
      </c>
      <c r="O53" s="32"/>
      <c r="P53" s="24">
        <f t="shared" si="36"/>
        <v>0</v>
      </c>
      <c r="Q53" s="38"/>
      <c r="R53" s="9"/>
      <c r="S53" s="24">
        <f t="shared" si="37"/>
        <v>0</v>
      </c>
      <c r="T53" s="36"/>
      <c r="U53" s="40"/>
      <c r="V53" s="9">
        <f t="shared" si="38"/>
        <v>0</v>
      </c>
      <c r="W53" s="27">
        <f t="shared" si="39"/>
        <v>0</v>
      </c>
      <c r="X53" s="40"/>
      <c r="Y53" s="45">
        <f t="shared" si="40"/>
        <v>0</v>
      </c>
      <c r="Z53" s="27">
        <f t="shared" si="41"/>
        <v>0</v>
      </c>
      <c r="AA53" s="40"/>
      <c r="AB53" s="45">
        <f t="shared" si="9"/>
        <v>0</v>
      </c>
      <c r="AC53" s="27">
        <f t="shared" si="29"/>
        <v>0</v>
      </c>
      <c r="AD53" s="48"/>
      <c r="AE53" s="9"/>
      <c r="AF53" s="24">
        <f t="shared" si="42"/>
        <v>0</v>
      </c>
      <c r="AG53" s="28">
        <f t="shared" si="51"/>
        <v>2178.11</v>
      </c>
      <c r="AH53" s="9">
        <f t="shared" si="43"/>
        <v>200.15819999999999</v>
      </c>
      <c r="AI53" s="9">
        <f t="shared" si="44"/>
        <v>3.2669999999999999</v>
      </c>
      <c r="AJ53" s="9">
        <f t="shared" si="45"/>
        <v>2178</v>
      </c>
      <c r="AK53" s="9">
        <f t="shared" si="46"/>
        <v>203.42519999999999</v>
      </c>
      <c r="AL53" s="9">
        <f t="shared" si="47"/>
        <v>1974.6848000000002</v>
      </c>
      <c r="AM53" s="9">
        <f t="shared" si="52"/>
        <v>1974.6848000000002</v>
      </c>
      <c r="AN53" s="9"/>
      <c r="AO53" s="9"/>
      <c r="AP53" s="9"/>
      <c r="AQ53" s="9"/>
      <c r="AR53" s="9"/>
      <c r="AS53" s="9"/>
      <c r="AT53" s="9">
        <f t="shared" si="48"/>
        <v>0</v>
      </c>
      <c r="AU53" s="9"/>
      <c r="AV53" s="9">
        <f t="shared" si="33"/>
        <v>203.42519999999999</v>
      </c>
      <c r="AW53" s="9">
        <f t="shared" si="53"/>
        <v>2178.11</v>
      </c>
      <c r="AX53" s="9">
        <f t="shared" si="49"/>
        <v>1975</v>
      </c>
      <c r="AY53" s="4">
        <f t="shared" si="21"/>
        <v>78.120000000000047</v>
      </c>
      <c r="AZ53" s="3"/>
      <c r="BA53" s="3"/>
      <c r="BB53" s="4">
        <f t="shared" si="54"/>
        <v>104.78000000000004</v>
      </c>
      <c r="BC53" s="3"/>
      <c r="BD53" s="3"/>
      <c r="BE53" s="3"/>
      <c r="BF53" s="3"/>
      <c r="BG53" s="19">
        <f t="shared" si="22"/>
        <v>96.100000000000051</v>
      </c>
      <c r="BH53" s="19"/>
      <c r="BI53" s="19"/>
      <c r="BJ53" s="19">
        <f t="shared" si="50"/>
        <v>86.790000000000035</v>
      </c>
      <c r="BK53" s="9"/>
      <c r="BL53" s="9"/>
      <c r="BM53" s="9"/>
      <c r="BN53" s="9"/>
      <c r="BO53" s="4"/>
      <c r="BP53" s="9"/>
    </row>
  </sheetData>
  <phoneticPr fontId="3" alignment="center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Buste Paga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2026-03-28T13:35:29Z</dcterms:created>
  <dcterms:modified xsi:type="dcterms:W3CDTF">2026-03-28T13:35:29Z</dcterms:modified>
</cp:coreProperties>
</file>